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io.nunes\Desktop\"/>
    </mc:Choice>
  </mc:AlternateContent>
  <xr:revisionPtr revIDLastSave="0" documentId="13_ncr:1_{73451191-FF06-42FE-878F-EAB431009AFA}" xr6:coauthVersionLast="47" xr6:coauthVersionMax="47" xr10:uidLastSave="{00000000-0000-0000-0000-000000000000}"/>
  <bookViews>
    <workbookView xWindow="-120" yWindow="-120" windowWidth="24240" windowHeight="13020" xr2:uid="{897EA0BA-11DF-40E6-8E49-799C2344DF81}"/>
  </bookViews>
  <sheets>
    <sheet name="Base_IQ" sheetId="1" r:id="rId1"/>
    <sheet name="Base_Tecnicos" sheetId="2" r:id="rId2"/>
    <sheet name="Certificad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</calcChain>
</file>

<file path=xl/sharedStrings.xml><?xml version="1.0" encoding="utf-8"?>
<sst xmlns="http://schemas.openxmlformats.org/spreadsheetml/2006/main" count="4294965850" uniqueCount="189">
  <si>
    <t>re_iq</t>
  </si>
  <si>
    <t>senha</t>
  </si>
  <si>
    <t>nome_iq</t>
  </si>
  <si>
    <t>login</t>
  </si>
  <si>
    <t>nome</t>
  </si>
  <si>
    <t>status_certificacao</t>
  </si>
  <si>
    <t>regiao</t>
  </si>
  <si>
    <t>re_iq_responsavel</t>
  </si>
  <si>
    <t>ALEXANDRE DOS SANTOS SOUSA</t>
  </si>
  <si>
    <t>ELCIO FLAVIANO NUNES</t>
  </si>
  <si>
    <t>GENILSON FURTADO DE ALMEIDA</t>
  </si>
  <si>
    <t>DENIS DE SOUZA CARVALHO</t>
  </si>
  <si>
    <t>EDSON MARCO PINHEIRO</t>
  </si>
  <si>
    <t>THIAGO LOPES</t>
  </si>
  <si>
    <t>EDSON ALVES DE SOUSA</t>
  </si>
  <si>
    <t>MARCOS ROBERTO DO NASCIMENTO</t>
  </si>
  <si>
    <t>MAICON APARECIDO FARIA</t>
  </si>
  <si>
    <t>CARLOS EDUARDO DA SILVA CONCEICAO</t>
  </si>
  <si>
    <t>NELSON ALVES OLIVEIRA JUNIOR</t>
  </si>
  <si>
    <t>VANIA S SOUZA</t>
  </si>
  <si>
    <t>Z613057</t>
  </si>
  <si>
    <t>Z652293</t>
  </si>
  <si>
    <t>Z637976</t>
  </si>
  <si>
    <t>Z641759</t>
  </si>
  <si>
    <t>Z663524</t>
  </si>
  <si>
    <t>Z519356</t>
  </si>
  <si>
    <t>Z637977</t>
  </si>
  <si>
    <t>Z644006</t>
  </si>
  <si>
    <t>Z525216</t>
  </si>
  <si>
    <t>Z586735</t>
  </si>
  <si>
    <t>Z693598</t>
  </si>
  <si>
    <t>Z690989</t>
  </si>
  <si>
    <t>Z625770</t>
  </si>
  <si>
    <t>Z680770</t>
  </si>
  <si>
    <t>Z693637</t>
  </si>
  <si>
    <t>Z682064</t>
  </si>
  <si>
    <t>Z519358</t>
  </si>
  <si>
    <t>Z680670</t>
  </si>
  <si>
    <t>Z635520</t>
  </si>
  <si>
    <t>Z608752</t>
  </si>
  <si>
    <t>Z699964</t>
  </si>
  <si>
    <t>Z217678</t>
  </si>
  <si>
    <t>Z088626</t>
  </si>
  <si>
    <t>Z699164</t>
  </si>
  <si>
    <t>Z612970</t>
  </si>
  <si>
    <t>Z625771</t>
  </si>
  <si>
    <t>Z581680</t>
  </si>
  <si>
    <t>Z665110</t>
  </si>
  <si>
    <t>Z689683</t>
  </si>
  <si>
    <t>Z554027</t>
  </si>
  <si>
    <t>Z682123</t>
  </si>
  <si>
    <t>Z691707</t>
  </si>
  <si>
    <t>Z469231</t>
  </si>
  <si>
    <t>Z436101</t>
  </si>
  <si>
    <t>Z685699</t>
  </si>
  <si>
    <t>Z683233</t>
  </si>
  <si>
    <t>Z630528</t>
  </si>
  <si>
    <t>Z664397</t>
  </si>
  <si>
    <t>Z026513</t>
  </si>
  <si>
    <t>Z670462</t>
  </si>
  <si>
    <t>Z652296</t>
  </si>
  <si>
    <t>Z616635</t>
  </si>
  <si>
    <t>Z655739</t>
  </si>
  <si>
    <t>Z499403</t>
  </si>
  <si>
    <t>Z693191</t>
  </si>
  <si>
    <t>Z130818</t>
  </si>
  <si>
    <t>Z407896</t>
  </si>
  <si>
    <t>Z567879</t>
  </si>
  <si>
    <t>Z631291</t>
  </si>
  <si>
    <t>Z644011</t>
  </si>
  <si>
    <t>Z677795</t>
  </si>
  <si>
    <t>Z609273</t>
  </si>
  <si>
    <t>Z691039</t>
  </si>
  <si>
    <t>Z699942</t>
  </si>
  <si>
    <t>Z634719</t>
  </si>
  <si>
    <t>Z441159</t>
  </si>
  <si>
    <t>Z648220</t>
  </si>
  <si>
    <t>Z691708</t>
  </si>
  <si>
    <t>Z595554</t>
  </si>
  <si>
    <t>Z469239</t>
  </si>
  <si>
    <t>Z502024</t>
  </si>
  <si>
    <t>Z645616</t>
  </si>
  <si>
    <t>Z662641</t>
  </si>
  <si>
    <t>Z656713</t>
  </si>
  <si>
    <t>Z665100</t>
  </si>
  <si>
    <t>Z197454</t>
  </si>
  <si>
    <t>Z638812</t>
  </si>
  <si>
    <t>Z665101</t>
  </si>
  <si>
    <t>Z677281</t>
  </si>
  <si>
    <t>Z638189</t>
  </si>
  <si>
    <t>Z416256</t>
  </si>
  <si>
    <t>re</t>
  </si>
  <si>
    <t>ADRIEL ALEXANDER DE LIMA</t>
  </si>
  <si>
    <t>AIRON HENRIQUE FERREIRA MINA</t>
  </si>
  <si>
    <t>ALAN RODRIGUES COSTA</t>
  </si>
  <si>
    <t>ALEX BERNARDES DA SILVA</t>
  </si>
  <si>
    <t>ALEX DE JESUS FREIRE</t>
  </si>
  <si>
    <t>ALINE CAMARGO PIRES</t>
  </si>
  <si>
    <t>AMANDA CAROLINE DOS SANTOS</t>
  </si>
  <si>
    <t>ANA LUISA CULAU SILVA</t>
  </si>
  <si>
    <t>ANTONIO WESLEY HOLANDA DA SILVA</t>
  </si>
  <si>
    <t>AUGUSTO ERNANDES DA SILVA</t>
  </si>
  <si>
    <t>BEATRIZ CHAVES DE SOUSA</t>
  </si>
  <si>
    <t>BRUNO APARECIDO FREIRE MARCONDES</t>
  </si>
  <si>
    <t>CARLOS ALBERTO LIMA REBOUÇAS</t>
  </si>
  <si>
    <t>CRISTIAN NERY DA CRUZ</t>
  </si>
  <si>
    <t>DANIEL MARTINS DE MELO RODRIGUES</t>
  </si>
  <si>
    <t>DANIEL PRINCE CORTEZ GOMEZ</t>
  </si>
  <si>
    <t>DANIEL SOUZA OLIVEIRA</t>
  </si>
  <si>
    <t>DAVID DA SILVA DANIEL</t>
  </si>
  <si>
    <t>DEBORA BENEVENUTO PEREIRA</t>
  </si>
  <si>
    <t>DOMINGOS PEREIRA DA SILVA</t>
  </si>
  <si>
    <t>EDER SALES MONTEIRO</t>
  </si>
  <si>
    <t>EDUARDO FERNANDES BERNARDO DE MELO</t>
  </si>
  <si>
    <t>ENOQUE FERREIRA SANTOS FILHO</t>
  </si>
  <si>
    <t>ERIC PEREIRA PINTO</t>
  </si>
  <si>
    <t>ERICK PAULO FERREIRA DA SILVA</t>
  </si>
  <si>
    <t>ERIK CASSIMIRO DA SILVA GOMES</t>
  </si>
  <si>
    <t>ESTEVAM MATEUS GONCALVES</t>
  </si>
  <si>
    <t>EVERTON ALVES</t>
  </si>
  <si>
    <t>EVERTON SILVA DE OLIVEIRA</t>
  </si>
  <si>
    <t>FABIO OLIVEIRA MOURA</t>
  </si>
  <si>
    <t>FELIPE GROTKOWSKI DO NASCIMENTO</t>
  </si>
  <si>
    <t>FELIPE RODRIGUES CORREA</t>
  </si>
  <si>
    <t>FELIPI ANTONIO DA SILVA</t>
  </si>
  <si>
    <t>FRANCISCO IGOR SOARES DA SILVA</t>
  </si>
  <si>
    <t>FRANCISCO RONIEL NUNES ROCHA</t>
  </si>
  <si>
    <t>GUILHERME SILVA DOS SANTOS</t>
  </si>
  <si>
    <t>HELTON LIMA DE QUEIROZ</t>
  </si>
  <si>
    <t>IGOR DAVID DE MARCHI</t>
  </si>
  <si>
    <t>JAKSON DE JESUS E SILVA</t>
  </si>
  <si>
    <t>JAZIEL DOS SANTOS SILVA</t>
  </si>
  <si>
    <t>JEANDERSON SOUZA BERTO DA SILVA</t>
  </si>
  <si>
    <t>JEFFERSON FRANCISCO DA SILVA</t>
  </si>
  <si>
    <t>JOANDERSON LOPES DA CONCEIÇÃO</t>
  </si>
  <si>
    <t>JOAO BATISTA DE LIMA TOME</t>
  </si>
  <si>
    <t>JOSE CASSIO ALVES SAMPAIO</t>
  </si>
  <si>
    <t>JULIO CESAR SILVA DOS SANTOS</t>
  </si>
  <si>
    <t>JUSCIELIO LIRA DE OLIVEIRA</t>
  </si>
  <si>
    <t>LEANDRO SOARES DA SILVA</t>
  </si>
  <si>
    <t>LEONARDO BESERRA DOS SANTOS</t>
  </si>
  <si>
    <t>LUCAS SILVA DE LIMA</t>
  </si>
  <si>
    <t>LUCIANO DE JESUS COSTA</t>
  </si>
  <si>
    <t>MAICON JORDAN PEDRO DOS SANTOS GARCEZ</t>
  </si>
  <si>
    <t>MATEUS SETTE</t>
  </si>
  <si>
    <t>MATHEUS BOAVENTURA DA SILVA</t>
  </si>
  <si>
    <t>NATALIA SANT ANA VELASCO</t>
  </si>
  <si>
    <t>ODIRLEI APARECIDO PIERETI</t>
  </si>
  <si>
    <t>OSCLEY FRANCA DE SOUSA</t>
  </si>
  <si>
    <t>OTAVIO DA SILVA GONÇALVES</t>
  </si>
  <si>
    <t>PATRICIA DE ARAUJO RAMALHO</t>
  </si>
  <si>
    <t>PAULO CESAR BATISTA DE SOUSA</t>
  </si>
  <si>
    <t>RAFAEL DOS ANJOS BATISTA ONOFRE</t>
  </si>
  <si>
    <t>RICARDO SANTOS</t>
  </si>
  <si>
    <t>ROBERVAL LEAO DE ALBUQUERQUE</t>
  </si>
  <si>
    <t>RODRIGO FEITOZA DA SILVA</t>
  </si>
  <si>
    <t>SAMUEL AUGUSTO DE OLIVEIRA</t>
  </si>
  <si>
    <t>SIDNEY ROSENDO DA SILVA</t>
  </si>
  <si>
    <t>VICTOR MENDES DOS SANTOS</t>
  </si>
  <si>
    <t>VITOR MATOS DE ALMEIDA</t>
  </si>
  <si>
    <t>WASHINGTON LUIZ CARVALHO</t>
  </si>
  <si>
    <t>WESLAYNE CELINA FERREIRA SILVA</t>
  </si>
  <si>
    <t>YURI URCESINO COSTA</t>
  </si>
  <si>
    <t>LOGIN</t>
  </si>
  <si>
    <t>Z693905</t>
  </si>
  <si>
    <t>Z682066</t>
  </si>
  <si>
    <t>Z669198</t>
  </si>
  <si>
    <t>Z620327</t>
  </si>
  <si>
    <t>Não</t>
  </si>
  <si>
    <t>Sim</t>
  </si>
  <si>
    <t>ABC</t>
  </si>
  <si>
    <t>Acompanhamento</t>
  </si>
  <si>
    <t>PERFIL</t>
  </si>
  <si>
    <t>GESTÃO</t>
  </si>
  <si>
    <t>IQ</t>
  </si>
  <si>
    <t>Z525262</t>
  </si>
  <si>
    <t>DANIEL AUGUSTO PEREIRA</t>
  </si>
  <si>
    <t>Z643065</t>
  </si>
  <si>
    <t>Z625073</t>
  </si>
  <si>
    <t>Z634718</t>
  </si>
  <si>
    <t>Z613058</t>
  </si>
  <si>
    <t>Z668867</t>
  </si>
  <si>
    <t>Z585540</t>
  </si>
  <si>
    <t>Z657842</t>
  </si>
  <si>
    <t>Z675669</t>
  </si>
  <si>
    <t>Z690380</t>
  </si>
  <si>
    <t>CERTIFICADO JULHO</t>
  </si>
  <si>
    <t>CERTIFICADO AGOSTO</t>
  </si>
  <si>
    <t>CERTIFICADO 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</si>
</sst>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</font>
    <font>
      <sz val="8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3" xfId="0" applyFont="1" applyBorder="1" applyAlignment="1">
      <alignment horizontal="left"/>
    </xf>
    <xf numFmtId="0" fontId="0" fillId="0" borderId="5" xfId="0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3" fillId="0" borderId="8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6" xfId="0" applyFont="1" applyBorder="1"/>
    <xf numFmtId="0" fontId="0" fillId="0" borderId="1" xfId="0" applyBorder="1"/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77F1C-986A-455C-84D0-98802B3F1BC0}" name="Tabela2" displayName="Tabela2" ref="A1:D14" totalsRowShown="0" headerRowDxfId="35" headerRowBorderDxfId="34" tableBorderDxfId="33" totalsRowBorderDxfId="32">
  <autoFilter ref="A1:D14" xr:uid="{43B77F1C-986A-455C-84D0-98802B3F1BC0}"/>
  <tableColumns count="4">
    <tableColumn id="1" xr3:uid="{2A20E4A5-AF55-44E6-A4E2-B2D793288803}" name="re_iq" dataDxfId="31"/>
    <tableColumn id="2" xr3:uid="{23EBEA0A-D98A-4536-AA12-E2AF914499ED}" name="senha" dataDxfId="30"/>
    <tableColumn id="3" xr3:uid="{19B128AC-4E26-4DAE-9B5C-780E4F95DAB9}" name="nome_iq" dataDxfId="29"/>
    <tableColumn id="4" xr3:uid="{C1A886F2-0489-4ABD-9F84-D9ECBC1ED5F6}" name="PERFIL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5BA19-808D-4B8F-BDC5-306E46DE35D9}" name="Tabela1" displayName="Tabela1" ref="A1:G72" totalsRowShown="0" headerRowDxfId="27" headerRowBorderDxfId="26" tableBorderDxfId="25" totalsRowBorderDxfId="24">
  <tableColumns count="7">
    <tableColumn id="1" xr3:uid="{AE302A53-063D-4D0E-B6D7-ADD29FD4D6B5}" name="re" dataDxfId="23"/>
    <tableColumn id="2" xr3:uid="{DE145AF2-8CC2-4F13-81B6-1888D59ADAE1}" name="login" dataDxfId="22"/>
    <tableColumn id="3" xr3:uid="{EA70B00C-C817-4FDA-B4F7-1C2B651EC4C8}" name="nome" dataDxfId="21"/>
    <tableColumn id="4" xr3:uid="{123CE67E-6737-40DE-B649-26C14CF5783C}" name="status_certificacao" dataDxfId="20">
      <calculatedColumnFormula>IFERROR(VLOOKUP(Tabela1[[#This Row],[login]],Tabela5[#All],2,0),"-")</calculatedColumnFormula>
    </tableColumn>
    <tableColumn id="5" xr3:uid="{92C55EB9-51B4-43CF-B1CD-7D160F1F6E71}" name="regiao" dataDxfId="19"/>
    <tableColumn id="6" xr3:uid="{B66CA9F0-2091-4C72-8861-DFD2AB54E130}" name="re_iq_responsavel" dataDxfId="18"/>
    <tableColumn id="7" xr3:uid="{B545E271-6657-484A-B9B0-961D99B609F4}" name="Acompanhamento" dataDxfId="17">
      <calculatedColumnFormula>IFERROR(VLOOKUP(Tabela1[[#This Row],[login]],Certificados!A:B,2,0),"-")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6284CE-3AAC-4123-B1CA-462A33BA1065}" name="Tabela3" displayName="Tabela3" ref="A1:B63" totalsRowShown="0" headerRowDxfId="16" dataDxfId="15">
  <autoFilter ref="A1:B63" xr:uid="{186284CE-3AAC-4123-B1CA-462A33BA1065}"/>
  <tableColumns count="2">
    <tableColumn id="2" xr3:uid="{42330779-A1A8-47D6-9BED-9B7E341EF2F7}" name="LOGIN" dataDxfId="14"/>
    <tableColumn id="3" xr3:uid="{FDA0CAEF-1181-4A76-BE79-5A6EB75F17EA}" name="CERTIFICADO JULHO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4F5E4B-CB9E-463A-85DE-B2DA4B83C290}" name="Tabela4" displayName="Tabela4" ref="D1:E67" totalsRowShown="0" headerRowDxfId="12" headerRowBorderDxfId="11" tableBorderDxfId="10">
  <autoFilter ref="D1:E67" xr:uid="{EA4F5E4B-CB9E-463A-85DE-B2DA4B83C290}"/>
  <tableColumns count="2">
    <tableColumn id="1" xr3:uid="{CFB25483-5D14-4A06-9A44-C6208CAE627A}" name="LOGIN"/>
    <tableColumn id="2" xr3:uid="{BBEDB3EF-662A-4CA6-9436-5C5A44A68C83}" name="CERTIFICADO AGOSTO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CBFA7C-B0C8-4AE0-A85C-3F5B6B2BB3DE}" name="Tabela5" displayName="Tabela5" ref="G1:H74" totalsRowShown="0" headerRowDxfId="8" headerRowBorderDxfId="7" tableBorderDxfId="6">
  <autoFilter ref="G1:H74" xr:uid="{67CBFA7C-B0C8-4AE0-A85C-3F5B6B2BB3DE}"/>
  <tableColumns count="2">
    <tableColumn id="1" xr3:uid="{5CB42125-2587-4C90-9CDA-BAD40E0C4647}" name="LOGIN"/>
    <tableColumn id="2" xr3:uid="{7DFAC3F2-BD84-4FD7-A8B1-F7034CD0D422}" name="CERTIFICADO SETEMBR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09FF-5ED9-4D46-9E6E-552EE667A969}">
  <dimension ref="A1:D14"/>
  <sheetViews>
    <sheetView tabSelected="1" workbookViewId="0">
      <selection activeCell="E22" sqref="E22"/>
    </sheetView>
  </sheetViews>
  <sheetFormatPr defaultRowHeight="15" x14ac:dyDescent="0.25"/>
  <cols>
    <col min="1" max="1" width="8.7109375" customWidth="1"/>
    <col min="2" max="2" width="10" style="5" customWidth="1"/>
    <col min="3" max="3" width="36.42578125" bestFit="1" customWidth="1"/>
    <col min="4" max="4" width="9.140625" style="25"/>
  </cols>
  <sheetData>
    <row r="1" spans="1:4" ht="18.75" x14ac:dyDescent="0.3">
      <c r="A1" s="17" t="s">
        <v>0</v>
      </c>
      <c r="B1" s="18" t="s">
        <v>1</v>
      </c>
      <c r="C1" s="20" t="s">
        <v>2</v>
      </c>
      <c r="D1" s="22" t="s">
        <v>172</v>
      </c>
    </row>
    <row r="2" spans="1:4" x14ac:dyDescent="0.25">
      <c r="A2" s="16">
        <v>8433</v>
      </c>
      <c r="B2" s="4">
        <v>123</v>
      </c>
      <c r="C2" s="21" t="s">
        <v>8</v>
      </c>
      <c r="D2" s="23" t="s">
        <v>173</v>
      </c>
    </row>
    <row r="3" spans="1:4" x14ac:dyDescent="0.25">
      <c r="A3" s="16">
        <v>5304</v>
      </c>
      <c r="B3" s="4">
        <v>123</v>
      </c>
      <c r="C3" s="21" t="s">
        <v>9</v>
      </c>
      <c r="D3" s="23" t="s">
        <v>173</v>
      </c>
    </row>
    <row r="4" spans="1:4" x14ac:dyDescent="0.25">
      <c r="A4" s="16">
        <v>6391</v>
      </c>
      <c r="B4" s="4">
        <v>123</v>
      </c>
      <c r="C4" s="21" t="s">
        <v>10</v>
      </c>
      <c r="D4" s="23" t="s">
        <v>173</v>
      </c>
    </row>
    <row r="5" spans="1:4" x14ac:dyDescent="0.25">
      <c r="A5" s="16">
        <v>4045</v>
      </c>
      <c r="B5" s="4">
        <v>123</v>
      </c>
      <c r="C5" s="21" t="s">
        <v>11</v>
      </c>
      <c r="D5" s="23" t="s">
        <v>174</v>
      </c>
    </row>
    <row r="6" spans="1:4" x14ac:dyDescent="0.25">
      <c r="A6" s="16">
        <v>5449</v>
      </c>
      <c r="B6" s="4">
        <v>123</v>
      </c>
      <c r="C6" s="21" t="s">
        <v>12</v>
      </c>
      <c r="D6" s="23" t="s">
        <v>173</v>
      </c>
    </row>
    <row r="7" spans="1:4" ht="15" customHeight="1" x14ac:dyDescent="0.25">
      <c r="A7" s="16">
        <v>5996</v>
      </c>
      <c r="B7" s="4">
        <v>123</v>
      </c>
      <c r="C7" s="21" t="s">
        <v>13</v>
      </c>
      <c r="D7" s="23" t="s">
        <v>174</v>
      </c>
    </row>
    <row r="8" spans="1:4" x14ac:dyDescent="0.25">
      <c r="A8" s="16">
        <v>6540</v>
      </c>
      <c r="B8" s="4">
        <v>123</v>
      </c>
      <c r="C8" s="21" t="s">
        <v>14</v>
      </c>
      <c r="D8" s="23" t="s">
        <v>174</v>
      </c>
    </row>
    <row r="9" spans="1:4" x14ac:dyDescent="0.25">
      <c r="A9" s="16">
        <v>2886</v>
      </c>
      <c r="B9" s="4">
        <v>123</v>
      </c>
      <c r="C9" s="21" t="s">
        <v>15</v>
      </c>
      <c r="D9" s="23" t="s">
        <v>173</v>
      </c>
    </row>
    <row r="10" spans="1:4" x14ac:dyDescent="0.25">
      <c r="A10" s="16">
        <v>7563</v>
      </c>
      <c r="B10" s="4">
        <v>123</v>
      </c>
      <c r="C10" s="21" t="s">
        <v>16</v>
      </c>
      <c r="D10" s="23" t="s">
        <v>173</v>
      </c>
    </row>
    <row r="11" spans="1:4" x14ac:dyDescent="0.25">
      <c r="A11" s="16">
        <v>8017</v>
      </c>
      <c r="B11" s="4">
        <v>123</v>
      </c>
      <c r="C11" s="21" t="s">
        <v>17</v>
      </c>
      <c r="D11" s="23" t="s">
        <v>173</v>
      </c>
    </row>
    <row r="12" spans="1:4" x14ac:dyDescent="0.25">
      <c r="A12" s="16">
        <v>8502</v>
      </c>
      <c r="B12" s="4">
        <v>123</v>
      </c>
      <c r="C12" s="21" t="s">
        <v>18</v>
      </c>
      <c r="D12" s="23" t="s">
        <v>173</v>
      </c>
    </row>
    <row r="13" spans="1:4" x14ac:dyDescent="0.25">
      <c r="A13" s="16">
        <v>516</v>
      </c>
      <c r="B13" s="4">
        <v>123</v>
      </c>
      <c r="C13" s="21" t="s">
        <v>19</v>
      </c>
      <c r="D13" s="23" t="s">
        <v>173</v>
      </c>
    </row>
    <row r="14" spans="1:4" x14ac:dyDescent="0.25">
      <c r="A14" s="19">
        <v>7708</v>
      </c>
      <c r="B14" s="15">
        <v>123</v>
      </c>
      <c r="C14" s="26" t="s">
        <v>176</v>
      </c>
      <c r="D14" s="24" t="s">
        <v>174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ED33-6108-43B3-9D36-B9C2730498F5}">
  <dimension ref="A1:H72"/>
  <sheetViews>
    <sheetView workbookViewId="0">
      <selection activeCell="F13" sqref="F13"/>
    </sheetView>
  </sheetViews>
  <sheetFormatPr defaultRowHeight="15" x14ac:dyDescent="0.25"/>
  <cols>
    <col min="1" max="1" width="5" customWidth="1"/>
    <col min="2" max="2" width="7.7109375" customWidth="1"/>
    <col min="3" max="3" width="31" bestFit="1" customWidth="1"/>
    <col min="4" max="4" width="21.5703125" style="5" customWidth="1"/>
    <col min="5" max="5" width="9" style="5" customWidth="1"/>
    <col min="6" max="6" width="20.5703125" customWidth="1"/>
    <col min="7" max="7" width="18.28515625" style="5" bestFit="1" customWidth="1"/>
  </cols>
  <sheetData>
    <row r="1" spans="1:8" ht="15.75" x14ac:dyDescent="0.3">
      <c r="A1" s="8" t="s">
        <v>91</v>
      </c>
      <c r="B1" s="9" t="s">
        <v>3</v>
      </c>
      <c r="C1" s="9" t="s">
        <v>4</v>
      </c>
      <c r="D1" s="10" t="s">
        <v>5</v>
      </c>
      <c r="E1" s="10" t="s">
        <v>6</v>
      </c>
      <c r="F1" s="11" t="s">
        <v>7</v>
      </c>
      <c r="G1" s="10" t="s">
        <v>171</v>
      </c>
      <c r="H1" s="1"/>
    </row>
    <row r="2" spans="1:8" x14ac:dyDescent="0.25">
      <c r="A2" s="7">
        <v>8189</v>
      </c>
      <c r="B2" s="3" t="s">
        <v>20</v>
      </c>
      <c r="C2" s="6" t="s">
        <v>92</v>
      </c>
      <c r="D2" s="4" t="str">
        <f>IFERROR(VLOOKUP(Tabela1[[#This Row],[login]],Tabela5[#All],2,0),"-")</f>
        <v>Sim</v>
      </c>
      <c r="E2" s="4" t="s">
        <v>170</v>
      </c>
      <c r="F2" s="16">
        <v>5996</v>
      </c>
      <c r="G2" s="5" t="str">
        <f>IFERROR(VLOOKUP(Tabela1[[#This Row],[login]],Certificados!A:B,2,0),"-")</f>
        <v>Sim</v>
      </c>
    </row>
    <row r="3" spans="1:8" x14ac:dyDescent="0.25">
      <c r="A3" s="7">
        <v>8427</v>
      </c>
      <c r="B3" s="3" t="s">
        <v>21</v>
      </c>
      <c r="C3" s="6" t="s">
        <v>93</v>
      </c>
      <c r="D3" s="4" t="str">
        <f>IFERROR(VLOOKUP(Tabela1[[#This Row],[login]],Tabela5[#All],2,0),"-")</f>
        <v>Sim</v>
      </c>
      <c r="E3" s="4" t="s">
        <v>170</v>
      </c>
      <c r="F3" s="16">
        <v>5996</v>
      </c>
      <c r="G3" s="5" t="str">
        <f>IFERROR(VLOOKUP(Tabela1[[#This Row],[login]],Certificados!A:B,2,0),"-")</f>
        <v>Não</v>
      </c>
    </row>
    <row r="4" spans="1:8" x14ac:dyDescent="0.25">
      <c r="A4" s="7">
        <v>8338</v>
      </c>
      <c r="B4" s="3" t="s">
        <v>22</v>
      </c>
      <c r="C4" s="6" t="s">
        <v>94</v>
      </c>
      <c r="D4" s="4" t="str">
        <f>IFERROR(VLOOKUP(Tabela1[[#This Row],[login]],Tabela5[#All],2,0),"-")</f>
        <v>Não</v>
      </c>
      <c r="E4" s="4" t="s">
        <v>170</v>
      </c>
      <c r="F4" s="16">
        <v>5996</v>
      </c>
      <c r="G4" s="5" t="str">
        <f>IFERROR(VLOOKUP(Tabela1[[#This Row],[login]],Certificados!A:B,2,0),"-")</f>
        <v>Sim</v>
      </c>
    </row>
    <row r="5" spans="1:8" x14ac:dyDescent="0.25">
      <c r="A5" s="7">
        <v>8368</v>
      </c>
      <c r="B5" s="3" t="s">
        <v>23</v>
      </c>
      <c r="C5" s="6" t="s">
        <v>95</v>
      </c>
      <c r="D5" s="4" t="str">
        <f>IFERROR(VLOOKUP(Tabela1[[#This Row],[login]],Tabela5[#All],2,0),"-")</f>
        <v>Sim</v>
      </c>
      <c r="E5" s="4" t="s">
        <v>170</v>
      </c>
      <c r="F5" s="16">
        <v>6540</v>
      </c>
      <c r="G5" s="5" t="str">
        <f>IFERROR(VLOOKUP(Tabela1[[#This Row],[login]],Certificados!A:B,2,0),"-")</f>
        <v>Sim</v>
      </c>
    </row>
    <row r="6" spans="1:8" x14ac:dyDescent="0.25">
      <c r="A6" s="7">
        <v>8496</v>
      </c>
      <c r="B6" s="3" t="s">
        <v>24</v>
      </c>
      <c r="C6" s="6" t="s">
        <v>96</v>
      </c>
      <c r="D6" s="4" t="str">
        <f>IFERROR(VLOOKUP(Tabela1[[#This Row],[login]],Tabela5[#All],2,0),"-")</f>
        <v>Sim</v>
      </c>
      <c r="E6" s="4" t="s">
        <v>170</v>
      </c>
      <c r="F6" s="16">
        <v>6540</v>
      </c>
      <c r="G6" s="5" t="str">
        <f>IFERROR(VLOOKUP(Tabela1[[#This Row],[login]],Certificados!A:B,2,0),"-")</f>
        <v>Sim</v>
      </c>
    </row>
    <row r="7" spans="1:8" x14ac:dyDescent="0.25">
      <c r="A7" s="7">
        <v>7656</v>
      </c>
      <c r="B7" s="3" t="s">
        <v>25</v>
      </c>
      <c r="C7" s="6" t="s">
        <v>97</v>
      </c>
      <c r="D7" s="4" t="str">
        <f>IFERROR(VLOOKUP(Tabela1[[#This Row],[login]],Tabela5[#All],2,0),"-")</f>
        <v>Sim</v>
      </c>
      <c r="E7" s="4" t="s">
        <v>170</v>
      </c>
      <c r="F7" s="16">
        <v>4045</v>
      </c>
      <c r="G7" s="5" t="str">
        <f>IFERROR(VLOOKUP(Tabela1[[#This Row],[login]],Certificados!A:B,2,0),"-")</f>
        <v>Sim</v>
      </c>
    </row>
    <row r="8" spans="1:8" x14ac:dyDescent="0.25">
      <c r="A8" s="7">
        <v>8337</v>
      </c>
      <c r="B8" s="3" t="s">
        <v>26</v>
      </c>
      <c r="C8" s="6" t="s">
        <v>98</v>
      </c>
      <c r="D8" s="4" t="str">
        <f>IFERROR(VLOOKUP(Tabela1[[#This Row],[login]],Tabela5[#All],2,0),"-")</f>
        <v>Sim</v>
      </c>
      <c r="E8" s="4" t="s">
        <v>170</v>
      </c>
      <c r="F8" s="16">
        <v>4045</v>
      </c>
      <c r="G8" s="5" t="str">
        <f>IFERROR(VLOOKUP(Tabela1[[#This Row],[login]],Certificados!A:B,2,0),"-")</f>
        <v>Sim</v>
      </c>
    </row>
    <row r="9" spans="1:8" x14ac:dyDescent="0.25">
      <c r="A9" s="7">
        <v>8375</v>
      </c>
      <c r="B9" s="3" t="s">
        <v>27</v>
      </c>
      <c r="C9" s="6" t="s">
        <v>99</v>
      </c>
      <c r="D9" s="4" t="str">
        <f>IFERROR(VLOOKUP(Tabela1[[#This Row],[login]],Tabela5[#All],2,0),"-")</f>
        <v>Sim</v>
      </c>
      <c r="E9" s="4" t="s">
        <v>170</v>
      </c>
      <c r="F9" s="16">
        <v>4045</v>
      </c>
      <c r="G9" s="5" t="str">
        <f>IFERROR(VLOOKUP(Tabela1[[#This Row],[login]],Certificados!A:B,2,0),"-")</f>
        <v>Sim</v>
      </c>
    </row>
    <row r="10" spans="1:8" x14ac:dyDescent="0.25">
      <c r="A10" s="7">
        <v>7704</v>
      </c>
      <c r="B10" s="3" t="s">
        <v>28</v>
      </c>
      <c r="C10" s="6" t="s">
        <v>100</v>
      </c>
      <c r="D10" s="4" t="str">
        <f>IFERROR(VLOOKUP(Tabela1[[#This Row],[login]],Tabela5[#All],2,0),"-")</f>
        <v>Sim</v>
      </c>
      <c r="E10" s="4" t="s">
        <v>170</v>
      </c>
      <c r="F10" s="16">
        <v>4045</v>
      </c>
      <c r="G10" s="5" t="str">
        <f>IFERROR(VLOOKUP(Tabela1[[#This Row],[login]],Certificados!A:B,2,0),"-")</f>
        <v>Sim</v>
      </c>
    </row>
    <row r="11" spans="1:8" x14ac:dyDescent="0.25">
      <c r="A11" s="7">
        <v>8045</v>
      </c>
      <c r="B11" s="3" t="s">
        <v>29</v>
      </c>
      <c r="C11" s="6" t="s">
        <v>101</v>
      </c>
      <c r="D11" s="4" t="str">
        <f>IFERROR(VLOOKUP(Tabela1[[#This Row],[login]],Tabela5[#All],2,0),"-")</f>
        <v>Sim</v>
      </c>
      <c r="E11" s="4" t="s">
        <v>170</v>
      </c>
      <c r="F11" s="16">
        <v>5996</v>
      </c>
      <c r="G11" s="5" t="str">
        <f>IFERROR(VLOOKUP(Tabela1[[#This Row],[login]],Certificados!A:B,2,0),"-")</f>
        <v>Sim</v>
      </c>
    </row>
    <row r="12" spans="1:8" x14ac:dyDescent="0.25">
      <c r="A12" s="7">
        <v>8666</v>
      </c>
      <c r="B12" s="3" t="s">
        <v>30</v>
      </c>
      <c r="C12" s="2" t="s">
        <v>102</v>
      </c>
      <c r="D12" s="4" t="str">
        <f>IFERROR(VLOOKUP(Tabela1[[#This Row],[login]],Tabela5[#All],2,0),"-")</f>
        <v>Sim</v>
      </c>
      <c r="E12" s="4" t="s">
        <v>170</v>
      </c>
      <c r="F12" s="16">
        <v>4045</v>
      </c>
      <c r="G12" s="5" t="str">
        <f>IFERROR(VLOOKUP(Tabela1[[#This Row],[login]],Certificados!A:B,2,0),"-")</f>
        <v>-</v>
      </c>
    </row>
    <row r="13" spans="1:8" x14ac:dyDescent="0.25">
      <c r="A13" s="7">
        <v>8654</v>
      </c>
      <c r="B13" s="3" t="s">
        <v>31</v>
      </c>
      <c r="C13" s="2" t="s">
        <v>103</v>
      </c>
      <c r="D13" s="4" t="str">
        <f>IFERROR(VLOOKUP(Tabela1[[#This Row],[login]],Tabela5[#All],2,0),"-")</f>
        <v>Não</v>
      </c>
      <c r="E13" s="4" t="s">
        <v>170</v>
      </c>
      <c r="F13" s="16">
        <v>6540</v>
      </c>
      <c r="G13" s="5" t="str">
        <f>IFERROR(VLOOKUP(Tabela1[[#This Row],[login]],Certificados!A:B,2,0),"-")</f>
        <v>-</v>
      </c>
    </row>
    <row r="14" spans="1:8" x14ac:dyDescent="0.25">
      <c r="A14" s="7">
        <v>8213</v>
      </c>
      <c r="B14" s="3" t="s">
        <v>32</v>
      </c>
      <c r="C14" s="6" t="s">
        <v>104</v>
      </c>
      <c r="D14" s="4" t="str">
        <f>IFERROR(VLOOKUP(Tabela1[[#This Row],[login]],Tabela5[#All],2,0),"-")</f>
        <v>Sim</v>
      </c>
      <c r="E14" s="4" t="s">
        <v>170</v>
      </c>
      <c r="F14" s="16">
        <v>5996</v>
      </c>
      <c r="G14" s="5" t="str">
        <f>IFERROR(VLOOKUP(Tabela1[[#This Row],[login]],Certificados!A:B,2,0),"-")</f>
        <v>Sim</v>
      </c>
    </row>
    <row r="15" spans="1:8" x14ac:dyDescent="0.25">
      <c r="A15" s="7">
        <v>8585</v>
      </c>
      <c r="B15" s="3" t="s">
        <v>33</v>
      </c>
      <c r="C15" s="6" t="s">
        <v>105</v>
      </c>
      <c r="D15" s="4" t="str">
        <f>IFERROR(VLOOKUP(Tabela1[[#This Row],[login]],Tabela5[#All],2,0),"-")</f>
        <v>Não</v>
      </c>
      <c r="E15" s="4" t="s">
        <v>170</v>
      </c>
      <c r="F15" s="16">
        <v>6540</v>
      </c>
      <c r="G15" s="5" t="str">
        <f>IFERROR(VLOOKUP(Tabela1[[#This Row],[login]],Certificados!A:B,2,0),"-")</f>
        <v>-</v>
      </c>
    </row>
    <row r="16" spans="1:8" x14ac:dyDescent="0.25">
      <c r="A16" s="7">
        <v>8665</v>
      </c>
      <c r="B16" s="3" t="s">
        <v>34</v>
      </c>
      <c r="C16" s="2" t="s">
        <v>106</v>
      </c>
      <c r="D16" s="4" t="str">
        <f>IFERROR(VLOOKUP(Tabela1[[#This Row],[login]],Tabela5[#All],2,0),"-")</f>
        <v>Não</v>
      </c>
      <c r="E16" s="4" t="s">
        <v>170</v>
      </c>
      <c r="F16" s="16">
        <v>4045</v>
      </c>
      <c r="G16" s="5" t="str">
        <f>IFERROR(VLOOKUP(Tabela1[[#This Row],[login]],Certificados!A:B,2,0),"-")</f>
        <v>-</v>
      </c>
    </row>
    <row r="17" spans="1:7" x14ac:dyDescent="0.25">
      <c r="A17" s="7">
        <v>8589</v>
      </c>
      <c r="B17" s="3" t="s">
        <v>35</v>
      </c>
      <c r="C17" s="6" t="s">
        <v>107</v>
      </c>
      <c r="D17" s="4" t="str">
        <f>IFERROR(VLOOKUP(Tabela1[[#This Row],[login]],Tabela5[#All],2,0),"-")</f>
        <v>Não</v>
      </c>
      <c r="E17" s="4" t="s">
        <v>170</v>
      </c>
      <c r="F17" s="16">
        <v>4045</v>
      </c>
      <c r="G17" s="5" t="str">
        <f>IFERROR(VLOOKUP(Tabela1[[#This Row],[login]],Certificados!A:B,2,0),"-")</f>
        <v>-</v>
      </c>
    </row>
    <row r="18" spans="1:7" x14ac:dyDescent="0.25">
      <c r="A18" s="7">
        <v>7666</v>
      </c>
      <c r="B18" s="3" t="s">
        <v>36</v>
      </c>
      <c r="C18" s="6" t="s">
        <v>108</v>
      </c>
      <c r="D18" s="4" t="str">
        <f>IFERROR(VLOOKUP(Tabela1[[#This Row],[login]],Tabela5[#All],2,0),"-")</f>
        <v>Sim</v>
      </c>
      <c r="E18" s="4" t="s">
        <v>170</v>
      </c>
      <c r="F18" s="16">
        <v>6540</v>
      </c>
      <c r="G18" s="5" t="str">
        <f>IFERROR(VLOOKUP(Tabela1[[#This Row],[login]],Certificados!A:B,2,0),"-")</f>
        <v>Sim</v>
      </c>
    </row>
    <row r="19" spans="1:7" x14ac:dyDescent="0.25">
      <c r="A19" s="7">
        <v>8594</v>
      </c>
      <c r="B19" s="3" t="s">
        <v>37</v>
      </c>
      <c r="C19" s="6" t="s">
        <v>109</v>
      </c>
      <c r="D19" s="4" t="str">
        <f>IFERROR(VLOOKUP(Tabela1[[#This Row],[login]],Tabela5[#All],2,0),"-")</f>
        <v>Não</v>
      </c>
      <c r="E19" s="4" t="s">
        <v>170</v>
      </c>
      <c r="F19" s="16">
        <v>5996</v>
      </c>
      <c r="G19" s="5" t="str">
        <f>IFERROR(VLOOKUP(Tabela1[[#This Row],[login]],Certificados!A:B,2,0),"-")</f>
        <v>-</v>
      </c>
    </row>
    <row r="20" spans="1:7" x14ac:dyDescent="0.25">
      <c r="A20" s="7">
        <v>8300</v>
      </c>
      <c r="B20" s="3" t="s">
        <v>38</v>
      </c>
      <c r="C20" s="6" t="s">
        <v>110</v>
      </c>
      <c r="D20" s="4" t="str">
        <f>IFERROR(VLOOKUP(Tabela1[[#This Row],[login]],Tabela5[#All],2,0),"-")</f>
        <v>Não</v>
      </c>
      <c r="E20" s="4" t="s">
        <v>170</v>
      </c>
      <c r="F20" s="16">
        <v>4045</v>
      </c>
      <c r="G20" s="5" t="str">
        <f>IFERROR(VLOOKUP(Tabela1[[#This Row],[login]],Certificados!A:B,2,0),"-")</f>
        <v>Não</v>
      </c>
    </row>
    <row r="21" spans="1:7" x14ac:dyDescent="0.25">
      <c r="A21" s="7">
        <v>7669</v>
      </c>
      <c r="B21" s="3" t="s">
        <v>39</v>
      </c>
      <c r="C21" s="6" t="s">
        <v>111</v>
      </c>
      <c r="D21" s="4" t="str">
        <f>IFERROR(VLOOKUP(Tabela1[[#This Row],[login]],Tabela5[#All],2,0),"-")</f>
        <v>Não</v>
      </c>
      <c r="E21" s="4" t="s">
        <v>170</v>
      </c>
      <c r="F21" s="16">
        <v>4045</v>
      </c>
      <c r="G21" s="5" t="str">
        <f>IFERROR(VLOOKUP(Tabela1[[#This Row],[login]],Certificados!A:B,2,0),"-")</f>
        <v>Sim</v>
      </c>
    </row>
    <row r="22" spans="1:7" x14ac:dyDescent="0.25">
      <c r="A22" s="7">
        <v>7642</v>
      </c>
      <c r="B22" s="3" t="s">
        <v>40</v>
      </c>
      <c r="C22" s="6" t="s">
        <v>112</v>
      </c>
      <c r="D22" s="4" t="str">
        <f>IFERROR(VLOOKUP(Tabela1[[#This Row],[login]],Tabela5[#All],2,0),"-")</f>
        <v>Não</v>
      </c>
      <c r="E22" s="4" t="s">
        <v>170</v>
      </c>
      <c r="F22" s="16">
        <v>6540</v>
      </c>
      <c r="G22" s="5" t="str">
        <f>IFERROR(VLOOKUP(Tabela1[[#This Row],[login]],Certificados!A:B,2,0),"-")</f>
        <v>-</v>
      </c>
    </row>
    <row r="23" spans="1:7" x14ac:dyDescent="0.25">
      <c r="A23" s="7">
        <v>2331</v>
      </c>
      <c r="B23" s="3" t="s">
        <v>41</v>
      </c>
      <c r="C23" s="6" t="s">
        <v>113</v>
      </c>
      <c r="D23" s="4" t="str">
        <f>IFERROR(VLOOKUP(Tabela1[[#This Row],[login]],Tabela5[#All],2,0),"-")</f>
        <v>Sim</v>
      </c>
      <c r="E23" s="4" t="s">
        <v>170</v>
      </c>
      <c r="F23" s="16">
        <v>6540</v>
      </c>
      <c r="G23" s="5" t="str">
        <f>IFERROR(VLOOKUP(Tabela1[[#This Row],[login]],Certificados!A:B,2,0),"-")</f>
        <v>Sim</v>
      </c>
    </row>
    <row r="24" spans="1:7" x14ac:dyDescent="0.25">
      <c r="A24" s="7">
        <v>5586</v>
      </c>
      <c r="B24" s="3" t="s">
        <v>42</v>
      </c>
      <c r="C24" s="6" t="s">
        <v>114</v>
      </c>
      <c r="D24" s="4" t="str">
        <f>IFERROR(VLOOKUP(Tabela1[[#This Row],[login]],Tabela5[#All],2,0),"-")</f>
        <v>Sim</v>
      </c>
      <c r="E24" s="4" t="s">
        <v>170</v>
      </c>
      <c r="F24" s="16">
        <v>5996</v>
      </c>
      <c r="G24" s="5" t="str">
        <f>IFERROR(VLOOKUP(Tabela1[[#This Row],[login]],Certificados!A:B,2,0),"-")</f>
        <v>Sim</v>
      </c>
    </row>
    <row r="25" spans="1:7" x14ac:dyDescent="0.25">
      <c r="A25" s="7">
        <v>8058</v>
      </c>
      <c r="B25" s="3" t="s">
        <v>43</v>
      </c>
      <c r="C25" s="2" t="s">
        <v>115</v>
      </c>
      <c r="D25" s="4" t="str">
        <f>IFERROR(VLOOKUP(Tabela1[[#This Row],[login]],Tabela5[#All],2,0),"-")</f>
        <v>Não</v>
      </c>
      <c r="E25" s="4" t="s">
        <v>170</v>
      </c>
      <c r="F25" s="16">
        <v>5996</v>
      </c>
      <c r="G25" s="5" t="str">
        <f>IFERROR(VLOOKUP(Tabela1[[#This Row],[login]],Certificados!A:B,2,0),"-")</f>
        <v>-</v>
      </c>
    </row>
    <row r="26" spans="1:7" x14ac:dyDescent="0.25">
      <c r="A26" s="7">
        <v>7533</v>
      </c>
      <c r="B26" s="3" t="s">
        <v>44</v>
      </c>
      <c r="C26" s="6" t="s">
        <v>116</v>
      </c>
      <c r="D26" s="4" t="str">
        <f>IFERROR(VLOOKUP(Tabela1[[#This Row],[login]],Tabela5[#All],2,0),"-")</f>
        <v>Sim</v>
      </c>
      <c r="E26" s="4" t="s">
        <v>170</v>
      </c>
      <c r="F26" s="16">
        <v>6540</v>
      </c>
      <c r="G26" s="5" t="str">
        <f>IFERROR(VLOOKUP(Tabela1[[#This Row],[login]],Certificados!A:B,2,0),"-")</f>
        <v>Sim</v>
      </c>
    </row>
    <row r="27" spans="1:7" x14ac:dyDescent="0.25">
      <c r="A27" s="7">
        <v>8152</v>
      </c>
      <c r="B27" s="3" t="s">
        <v>45</v>
      </c>
      <c r="C27" s="6" t="s">
        <v>117</v>
      </c>
      <c r="D27" s="4" t="str">
        <f>IFERROR(VLOOKUP(Tabela1[[#This Row],[login]],Tabela5[#All],2,0),"-")</f>
        <v>Não</v>
      </c>
      <c r="E27" s="4" t="s">
        <v>170</v>
      </c>
      <c r="F27" s="16">
        <v>4045</v>
      </c>
      <c r="G27" s="5" t="str">
        <f>IFERROR(VLOOKUP(Tabela1[[#This Row],[login]],Certificados!A:B,2,0),"-")</f>
        <v>Sim</v>
      </c>
    </row>
    <row r="28" spans="1:7" x14ac:dyDescent="0.25">
      <c r="A28" s="7">
        <v>8014</v>
      </c>
      <c r="B28" s="3" t="s">
        <v>46</v>
      </c>
      <c r="C28" s="6" t="s">
        <v>118</v>
      </c>
      <c r="D28" s="4" t="str">
        <f>IFERROR(VLOOKUP(Tabela1[[#This Row],[login]],Tabela5[#All],2,0),"-")</f>
        <v>Sim</v>
      </c>
      <c r="E28" s="4" t="s">
        <v>170</v>
      </c>
      <c r="F28" s="16">
        <v>4045</v>
      </c>
      <c r="G28" s="5" t="str">
        <f>IFERROR(VLOOKUP(Tabela1[[#This Row],[login]],Certificados!A:B,2,0),"-")</f>
        <v>Não</v>
      </c>
    </row>
    <row r="29" spans="1:7" x14ac:dyDescent="0.25">
      <c r="A29" s="7">
        <v>8504</v>
      </c>
      <c r="B29" s="3" t="s">
        <v>47</v>
      </c>
      <c r="C29" s="6" t="s">
        <v>119</v>
      </c>
      <c r="D29" s="4" t="str">
        <f>IFERROR(VLOOKUP(Tabela1[[#This Row],[login]],Tabela5[#All],2,0),"-")</f>
        <v>Não</v>
      </c>
      <c r="E29" s="4" t="s">
        <v>170</v>
      </c>
      <c r="F29" s="16">
        <v>6540</v>
      </c>
      <c r="G29" s="5" t="str">
        <f>IFERROR(VLOOKUP(Tabela1[[#This Row],[login]],Certificados!A:B,2,0),"-")</f>
        <v>Sim</v>
      </c>
    </row>
    <row r="30" spans="1:7" x14ac:dyDescent="0.25">
      <c r="A30" s="7">
        <v>8645</v>
      </c>
      <c r="B30" s="3" t="s">
        <v>48</v>
      </c>
      <c r="C30" s="2" t="s">
        <v>120</v>
      </c>
      <c r="D30" s="4" t="str">
        <f>IFERROR(VLOOKUP(Tabela1[[#This Row],[login]],Tabela5[#All],2,0),"-")</f>
        <v>Não</v>
      </c>
      <c r="E30" s="4" t="s">
        <v>170</v>
      </c>
      <c r="F30" s="16">
        <v>5996</v>
      </c>
      <c r="G30" s="5" t="str">
        <f>IFERROR(VLOOKUP(Tabela1[[#This Row],[login]],Certificados!A:B,2,0),"-")</f>
        <v>-</v>
      </c>
    </row>
    <row r="31" spans="1:7" x14ac:dyDescent="0.25">
      <c r="A31" s="7">
        <v>7879</v>
      </c>
      <c r="B31" s="3" t="s">
        <v>49</v>
      </c>
      <c r="C31" s="6" t="s">
        <v>121</v>
      </c>
      <c r="D31" s="4" t="str">
        <f>IFERROR(VLOOKUP(Tabela1[[#This Row],[login]],Tabela5[#All],2,0),"-")</f>
        <v>Sim</v>
      </c>
      <c r="E31" s="4" t="s">
        <v>170</v>
      </c>
      <c r="F31" s="16">
        <v>6540</v>
      </c>
      <c r="G31" s="5" t="str">
        <f>IFERROR(VLOOKUP(Tabela1[[#This Row],[login]],Certificados!A:B,2,0),"-")</f>
        <v>Sim</v>
      </c>
    </row>
    <row r="32" spans="1:7" x14ac:dyDescent="0.25">
      <c r="A32" s="7">
        <v>8592</v>
      </c>
      <c r="B32" s="3" t="s">
        <v>50</v>
      </c>
      <c r="C32" s="6" t="s">
        <v>122</v>
      </c>
      <c r="D32" s="4" t="str">
        <f>IFERROR(VLOOKUP(Tabela1[[#This Row],[login]],Tabela5[#All],2,0),"-")</f>
        <v>Sim</v>
      </c>
      <c r="E32" s="4" t="s">
        <v>170</v>
      </c>
      <c r="F32" s="16">
        <v>5996</v>
      </c>
      <c r="G32" s="5" t="str">
        <f>IFERROR(VLOOKUP(Tabela1[[#This Row],[login]],Certificados!A:B,2,0),"-")</f>
        <v>-</v>
      </c>
    </row>
    <row r="33" spans="1:7" x14ac:dyDescent="0.25">
      <c r="A33" s="7">
        <v>8656</v>
      </c>
      <c r="B33" s="3" t="s">
        <v>51</v>
      </c>
      <c r="C33" s="2" t="s">
        <v>123</v>
      </c>
      <c r="D33" s="4" t="str">
        <f>IFERROR(VLOOKUP(Tabela1[[#This Row],[login]],Tabela5[#All],2,0),"-")</f>
        <v>Não</v>
      </c>
      <c r="E33" s="4" t="s">
        <v>170</v>
      </c>
      <c r="F33" s="16">
        <v>4045</v>
      </c>
      <c r="G33" s="5" t="str">
        <f>IFERROR(VLOOKUP(Tabela1[[#This Row],[login]],Certificados!A:B,2,0),"-")</f>
        <v>-</v>
      </c>
    </row>
    <row r="34" spans="1:7" x14ac:dyDescent="0.25">
      <c r="A34" s="7">
        <v>7421</v>
      </c>
      <c r="B34" s="3" t="s">
        <v>52</v>
      </c>
      <c r="C34" s="6" t="s">
        <v>124</v>
      </c>
      <c r="D34" s="4" t="str">
        <f>IFERROR(VLOOKUP(Tabela1[[#This Row],[login]],Tabela5[#All],2,0),"-")</f>
        <v>Sim</v>
      </c>
      <c r="E34" s="4" t="s">
        <v>170</v>
      </c>
      <c r="F34" s="16">
        <v>6540</v>
      </c>
      <c r="G34" s="5" t="str">
        <f>IFERROR(VLOOKUP(Tabela1[[#This Row],[login]],Certificados!A:B,2,0),"-")</f>
        <v>Sim</v>
      </c>
    </row>
    <row r="35" spans="1:7" x14ac:dyDescent="0.25">
      <c r="A35" s="7">
        <v>4785</v>
      </c>
      <c r="B35" s="3" t="s">
        <v>53</v>
      </c>
      <c r="C35" s="6" t="s">
        <v>125</v>
      </c>
      <c r="D35" s="4" t="str">
        <f>IFERROR(VLOOKUP(Tabela1[[#This Row],[login]],Tabela5[#All],2,0),"-")</f>
        <v>Sim</v>
      </c>
      <c r="E35" s="4" t="s">
        <v>170</v>
      </c>
      <c r="F35" s="16">
        <v>4045</v>
      </c>
      <c r="G35" s="5" t="str">
        <f>IFERROR(VLOOKUP(Tabela1[[#This Row],[login]],Certificados!A:B,2,0),"-")</f>
        <v>Sim</v>
      </c>
    </row>
    <row r="36" spans="1:7" x14ac:dyDescent="0.25">
      <c r="A36" s="7">
        <v>8628</v>
      </c>
      <c r="B36" s="3" t="s">
        <v>54</v>
      </c>
      <c r="C36" s="2" t="s">
        <v>126</v>
      </c>
      <c r="D36" s="4" t="str">
        <f>IFERROR(VLOOKUP(Tabela1[[#This Row],[login]],Tabela5[#All],2,0),"-")</f>
        <v>Sim</v>
      </c>
      <c r="E36" s="4" t="s">
        <v>170</v>
      </c>
      <c r="F36" s="16">
        <v>5996</v>
      </c>
      <c r="G36" s="5" t="str">
        <f>IFERROR(VLOOKUP(Tabela1[[#This Row],[login]],Certificados!A:B,2,0),"-")</f>
        <v>-</v>
      </c>
    </row>
    <row r="37" spans="1:7" x14ac:dyDescent="0.25">
      <c r="A37" s="7">
        <v>8597</v>
      </c>
      <c r="B37" s="3" t="s">
        <v>55</v>
      </c>
      <c r="C37" s="6" t="s">
        <v>127</v>
      </c>
      <c r="D37" s="4" t="str">
        <f>IFERROR(VLOOKUP(Tabela1[[#This Row],[login]],Tabela5[#All],2,0),"-")</f>
        <v>Não</v>
      </c>
      <c r="E37" s="4" t="s">
        <v>170</v>
      </c>
      <c r="F37" s="16">
        <v>5996</v>
      </c>
      <c r="G37" s="5" t="str">
        <f>IFERROR(VLOOKUP(Tabela1[[#This Row],[login]],Certificados!A:B,2,0),"-")</f>
        <v>-</v>
      </c>
    </row>
    <row r="38" spans="1:7" x14ac:dyDescent="0.25">
      <c r="A38" s="7">
        <v>8282</v>
      </c>
      <c r="B38" s="3" t="s">
        <v>56</v>
      </c>
      <c r="C38" s="6" t="s">
        <v>128</v>
      </c>
      <c r="D38" s="4" t="str">
        <f>IFERROR(VLOOKUP(Tabela1[[#This Row],[login]],Tabela5[#All],2,0),"-")</f>
        <v>Sim</v>
      </c>
      <c r="E38" s="4" t="s">
        <v>170</v>
      </c>
      <c r="F38" s="16">
        <v>5996</v>
      </c>
      <c r="G38" s="5" t="str">
        <f>IFERROR(VLOOKUP(Tabela1[[#This Row],[login]],Certificados!A:B,2,0),"-")</f>
        <v>Não</v>
      </c>
    </row>
    <row r="39" spans="1:7" x14ac:dyDescent="0.25">
      <c r="A39" s="7">
        <v>8497</v>
      </c>
      <c r="B39" s="3" t="s">
        <v>57</v>
      </c>
      <c r="C39" s="6" t="s">
        <v>129</v>
      </c>
      <c r="D39" s="4" t="str">
        <f>IFERROR(VLOOKUP(Tabela1[[#This Row],[login]],Tabela5[#All],2,0),"-")</f>
        <v>Sim</v>
      </c>
      <c r="E39" s="4" t="s">
        <v>170</v>
      </c>
      <c r="F39" s="16">
        <v>5996</v>
      </c>
      <c r="G39" s="5" t="str">
        <f>IFERROR(VLOOKUP(Tabela1[[#This Row],[login]],Certificados!A:B,2,0),"-")</f>
        <v>Sim</v>
      </c>
    </row>
    <row r="40" spans="1:7" x14ac:dyDescent="0.25">
      <c r="A40" s="7">
        <v>6039</v>
      </c>
      <c r="B40" s="3" t="s">
        <v>58</v>
      </c>
      <c r="C40" s="6" t="s">
        <v>130</v>
      </c>
      <c r="D40" s="4" t="str">
        <f>IFERROR(VLOOKUP(Tabela1[[#This Row],[login]],Tabela5[#All],2,0),"-")</f>
        <v>Não</v>
      </c>
      <c r="E40" s="4" t="s">
        <v>170</v>
      </c>
      <c r="F40" s="16">
        <v>4045</v>
      </c>
      <c r="G40" s="5" t="str">
        <f>IFERROR(VLOOKUP(Tabela1[[#This Row],[login]],Certificados!A:B,2,0),"-")</f>
        <v>Sim</v>
      </c>
    </row>
    <row r="41" spans="1:7" x14ac:dyDescent="0.25">
      <c r="A41" s="7">
        <v>8528</v>
      </c>
      <c r="B41" s="3" t="s">
        <v>59</v>
      </c>
      <c r="C41" s="6" t="s">
        <v>131</v>
      </c>
      <c r="D41" s="4" t="str">
        <f>IFERROR(VLOOKUP(Tabela1[[#This Row],[login]],Tabela5[#All],2,0),"-")</f>
        <v>Não</v>
      </c>
      <c r="E41" s="4" t="s">
        <v>170</v>
      </c>
      <c r="F41" s="16">
        <v>5996</v>
      </c>
      <c r="G41" s="5" t="str">
        <f>IFERROR(VLOOKUP(Tabela1[[#This Row],[login]],Certificados!A:B,2,0),"-")</f>
        <v>Sim</v>
      </c>
    </row>
    <row r="42" spans="1:7" x14ac:dyDescent="0.25">
      <c r="A42" s="7">
        <v>8435</v>
      </c>
      <c r="B42" s="3" t="s">
        <v>60</v>
      </c>
      <c r="C42" s="6" t="s">
        <v>132</v>
      </c>
      <c r="D42" s="4" t="str">
        <f>IFERROR(VLOOKUP(Tabela1[[#This Row],[login]],Tabela5[#All],2,0),"-")</f>
        <v>Sim</v>
      </c>
      <c r="E42" s="4" t="s">
        <v>170</v>
      </c>
      <c r="F42" s="16">
        <v>4045</v>
      </c>
      <c r="G42" s="5" t="str">
        <f>IFERROR(VLOOKUP(Tabela1[[#This Row],[login]],Certificados!A:B,2,0),"-")</f>
        <v>Sim</v>
      </c>
    </row>
    <row r="43" spans="1:7" x14ac:dyDescent="0.25">
      <c r="A43" s="7">
        <v>8225</v>
      </c>
      <c r="B43" s="3" t="s">
        <v>61</v>
      </c>
      <c r="C43" s="6" t="s">
        <v>133</v>
      </c>
      <c r="D43" s="4" t="str">
        <f>IFERROR(VLOOKUP(Tabela1[[#This Row],[login]],Tabela5[#All],2,0),"-")</f>
        <v>Sim</v>
      </c>
      <c r="E43" s="4" t="s">
        <v>170</v>
      </c>
      <c r="F43" s="16">
        <v>6540</v>
      </c>
      <c r="G43" s="5" t="str">
        <f>IFERROR(VLOOKUP(Tabela1[[#This Row],[login]],Certificados!A:B,2,0),"-")</f>
        <v>Sim</v>
      </c>
    </row>
    <row r="44" spans="1:7" x14ac:dyDescent="0.25">
      <c r="A44" s="7">
        <v>8443</v>
      </c>
      <c r="B44" s="3" t="s">
        <v>62</v>
      </c>
      <c r="C44" s="6" t="s">
        <v>134</v>
      </c>
      <c r="D44" s="4" t="str">
        <f>IFERROR(VLOOKUP(Tabela1[[#This Row],[login]],Tabela5[#All],2,0),"-")</f>
        <v>Sim</v>
      </c>
      <c r="E44" s="4" t="s">
        <v>170</v>
      </c>
      <c r="F44" s="16">
        <v>6540</v>
      </c>
      <c r="G44" s="5" t="str">
        <f>IFERROR(VLOOKUP(Tabela1[[#This Row],[login]],Certificados!A:B,2,0),"-")</f>
        <v>Sim</v>
      </c>
    </row>
    <row r="45" spans="1:7" x14ac:dyDescent="0.25">
      <c r="A45" s="7">
        <v>7526</v>
      </c>
      <c r="B45" s="3" t="s">
        <v>63</v>
      </c>
      <c r="C45" s="6" t="s">
        <v>135</v>
      </c>
      <c r="D45" s="4" t="str">
        <f>IFERROR(VLOOKUP(Tabela1[[#This Row],[login]],Tabela5[#All],2,0),"-")</f>
        <v>Não</v>
      </c>
      <c r="E45" s="4" t="s">
        <v>170</v>
      </c>
      <c r="F45" s="16">
        <v>6540</v>
      </c>
      <c r="G45" s="5" t="str">
        <f>IFERROR(VLOOKUP(Tabela1[[#This Row],[login]],Certificados!A:B,2,0),"-")</f>
        <v>Sim</v>
      </c>
    </row>
    <row r="46" spans="1:7" x14ac:dyDescent="0.25">
      <c r="A46" s="7">
        <v>8664</v>
      </c>
      <c r="B46" s="3" t="s">
        <v>64</v>
      </c>
      <c r="C46" s="2" t="s">
        <v>136</v>
      </c>
      <c r="D46" s="4" t="str">
        <f>IFERROR(VLOOKUP(Tabela1[[#This Row],[login]],Tabela5[#All],2,0),"-")</f>
        <v>Sim</v>
      </c>
      <c r="E46" s="4" t="s">
        <v>170</v>
      </c>
      <c r="F46" s="16">
        <v>6540</v>
      </c>
      <c r="G46" s="5" t="str">
        <f>IFERROR(VLOOKUP(Tabela1[[#This Row],[login]],Certificados!A:B,2,0),"-")</f>
        <v>-</v>
      </c>
    </row>
    <row r="47" spans="1:7" x14ac:dyDescent="0.25">
      <c r="A47" s="7">
        <v>6259</v>
      </c>
      <c r="B47" s="3" t="s">
        <v>65</v>
      </c>
      <c r="C47" s="6" t="s">
        <v>137</v>
      </c>
      <c r="D47" s="4" t="str">
        <f>IFERROR(VLOOKUP(Tabela1[[#This Row],[login]],Tabela5[#All],2,0),"-")</f>
        <v>Sim</v>
      </c>
      <c r="E47" s="4" t="s">
        <v>170</v>
      </c>
      <c r="F47" s="16">
        <v>6540</v>
      </c>
      <c r="G47" s="5" t="str">
        <f>IFERROR(VLOOKUP(Tabela1[[#This Row],[login]],Certificados!A:B,2,0),"-")</f>
        <v>Sim</v>
      </c>
    </row>
    <row r="48" spans="1:7" x14ac:dyDescent="0.25">
      <c r="A48" s="7">
        <v>7108</v>
      </c>
      <c r="B48" s="3" t="s">
        <v>66</v>
      </c>
      <c r="C48" s="6" t="s">
        <v>138</v>
      </c>
      <c r="D48" s="4" t="str">
        <f>IFERROR(VLOOKUP(Tabela1[[#This Row],[login]],Tabela5[#All],2,0),"-")</f>
        <v>-</v>
      </c>
      <c r="E48" s="4" t="s">
        <v>170</v>
      </c>
      <c r="F48" s="16">
        <v>5996</v>
      </c>
      <c r="G48" s="5" t="str">
        <f>IFERROR(VLOOKUP(Tabela1[[#This Row],[login]],Certificados!A:B,2,0),"-")</f>
        <v>Sim</v>
      </c>
    </row>
    <row r="49" spans="1:7" x14ac:dyDescent="0.25">
      <c r="A49" s="7">
        <v>7934</v>
      </c>
      <c r="B49" s="3" t="s">
        <v>67</v>
      </c>
      <c r="C49" s="6" t="s">
        <v>139</v>
      </c>
      <c r="D49" s="4" t="str">
        <f>IFERROR(VLOOKUP(Tabela1[[#This Row],[login]],Tabela5[#All],2,0),"-")</f>
        <v>Sim</v>
      </c>
      <c r="E49" s="4" t="s">
        <v>170</v>
      </c>
      <c r="F49" s="16">
        <v>5996</v>
      </c>
      <c r="G49" s="5" t="str">
        <f>IFERROR(VLOOKUP(Tabela1[[#This Row],[login]],Certificados!A:B,2,0),"-")</f>
        <v>Sim</v>
      </c>
    </row>
    <row r="50" spans="1:7" x14ac:dyDescent="0.25">
      <c r="A50" s="7">
        <v>8283</v>
      </c>
      <c r="B50" s="3" t="s">
        <v>68</v>
      </c>
      <c r="C50" s="6" t="s">
        <v>140</v>
      </c>
      <c r="D50" s="4" t="str">
        <f>IFERROR(VLOOKUP(Tabela1[[#This Row],[login]],Tabela5[#All],2,0),"-")</f>
        <v>Sim</v>
      </c>
      <c r="E50" s="4" t="s">
        <v>170</v>
      </c>
      <c r="F50" s="16">
        <v>4045</v>
      </c>
      <c r="G50" s="5" t="str">
        <f>IFERROR(VLOOKUP(Tabela1[[#This Row],[login]],Certificados!A:B,2,0),"-")</f>
        <v>Sim</v>
      </c>
    </row>
    <row r="51" spans="1:7" x14ac:dyDescent="0.25">
      <c r="A51" s="7">
        <v>8370</v>
      </c>
      <c r="B51" s="3" t="s">
        <v>69</v>
      </c>
      <c r="C51" s="6" t="s">
        <v>141</v>
      </c>
      <c r="D51" s="4" t="str">
        <f>IFERROR(VLOOKUP(Tabela1[[#This Row],[login]],Tabela5[#All],2,0),"-")</f>
        <v>Sim</v>
      </c>
      <c r="E51" s="4" t="s">
        <v>170</v>
      </c>
      <c r="F51" s="16">
        <v>4045</v>
      </c>
      <c r="G51" s="5" t="str">
        <f>IFERROR(VLOOKUP(Tabela1[[#This Row],[login]],Certificados!A:B,2,0),"-")</f>
        <v>Sim</v>
      </c>
    </row>
    <row r="52" spans="1:7" x14ac:dyDescent="0.25">
      <c r="A52" s="7">
        <v>8561</v>
      </c>
      <c r="B52" s="3" t="s">
        <v>70</v>
      </c>
      <c r="C52" s="6" t="s">
        <v>142</v>
      </c>
      <c r="D52" s="4" t="str">
        <f>IFERROR(VLOOKUP(Tabela1[[#This Row],[login]],Tabela5[#All],2,0),"-")</f>
        <v>Não</v>
      </c>
      <c r="E52" s="4" t="s">
        <v>170</v>
      </c>
      <c r="F52" s="16">
        <v>4045</v>
      </c>
      <c r="G52" s="5" t="str">
        <f>IFERROR(VLOOKUP(Tabela1[[#This Row],[login]],Certificados!A:B,2,0),"-")</f>
        <v>-</v>
      </c>
    </row>
    <row r="53" spans="1:7" x14ac:dyDescent="0.25">
      <c r="A53" s="7">
        <v>7694</v>
      </c>
      <c r="B53" s="3" t="s">
        <v>71</v>
      </c>
      <c r="C53" s="6" t="s">
        <v>143</v>
      </c>
      <c r="D53" s="4" t="str">
        <f>IFERROR(VLOOKUP(Tabela1[[#This Row],[login]],Tabela5[#All],2,0),"-")</f>
        <v>Não</v>
      </c>
      <c r="E53" s="4" t="s">
        <v>170</v>
      </c>
      <c r="F53" s="16">
        <v>5996</v>
      </c>
      <c r="G53" s="5" t="str">
        <f>IFERROR(VLOOKUP(Tabela1[[#This Row],[login]],Certificados!A:B,2,0),"-")</f>
        <v>Não</v>
      </c>
    </row>
    <row r="54" spans="1:7" x14ac:dyDescent="0.25">
      <c r="A54" s="7">
        <v>8662</v>
      </c>
      <c r="B54" s="3" t="s">
        <v>72</v>
      </c>
      <c r="C54" s="2" t="s">
        <v>144</v>
      </c>
      <c r="D54" s="4" t="str">
        <f>IFERROR(VLOOKUP(Tabela1[[#This Row],[login]],Tabela5[#All],2,0),"-")</f>
        <v>Sim</v>
      </c>
      <c r="E54" s="4" t="s">
        <v>170</v>
      </c>
      <c r="F54" s="16">
        <v>5996</v>
      </c>
      <c r="G54" s="5" t="str">
        <f>IFERROR(VLOOKUP(Tabela1[[#This Row],[login]],Certificados!A:B,2,0),"-")</f>
        <v>-</v>
      </c>
    </row>
    <row r="55" spans="1:7" x14ac:dyDescent="0.25">
      <c r="A55" s="7">
        <v>8190</v>
      </c>
      <c r="B55" s="3" t="s">
        <v>73</v>
      </c>
      <c r="C55" s="6" t="s">
        <v>145</v>
      </c>
      <c r="D55" s="4" t="str">
        <f>IFERROR(VLOOKUP(Tabela1[[#This Row],[login]],Tabela5[#All],2,0),"-")</f>
        <v>Sim</v>
      </c>
      <c r="E55" s="4" t="s">
        <v>170</v>
      </c>
      <c r="F55" s="16">
        <v>4045</v>
      </c>
      <c r="G55" s="5" t="str">
        <f>IFERROR(VLOOKUP(Tabela1[[#This Row],[login]],Certificados!A:B,2,0),"-")</f>
        <v>-</v>
      </c>
    </row>
    <row r="56" spans="1:7" x14ac:dyDescent="0.25">
      <c r="A56" s="7">
        <v>8301</v>
      </c>
      <c r="B56" s="3" t="s">
        <v>74</v>
      </c>
      <c r="C56" s="6" t="s">
        <v>146</v>
      </c>
      <c r="D56" s="4" t="str">
        <f>IFERROR(VLOOKUP(Tabela1[[#This Row],[login]],Tabela5[#All],2,0),"-")</f>
        <v>Não</v>
      </c>
      <c r="E56" s="4" t="s">
        <v>170</v>
      </c>
      <c r="F56" s="16">
        <v>6540</v>
      </c>
      <c r="G56" s="5" t="str">
        <f>IFERROR(VLOOKUP(Tabela1[[#This Row],[login]],Certificados!A:B,2,0),"-")</f>
        <v>Sim</v>
      </c>
    </row>
    <row r="57" spans="1:7" x14ac:dyDescent="0.25">
      <c r="A57" s="7">
        <v>4227</v>
      </c>
      <c r="B57" s="3" t="s">
        <v>75</v>
      </c>
      <c r="C57" s="6" t="s">
        <v>147</v>
      </c>
      <c r="D57" s="4" t="str">
        <f>IFERROR(VLOOKUP(Tabela1[[#This Row],[login]],Tabela5[#All],2,0),"-")</f>
        <v>Sim</v>
      </c>
      <c r="E57" s="4" t="s">
        <v>170</v>
      </c>
      <c r="F57" s="16">
        <v>6540</v>
      </c>
      <c r="G57" s="5" t="str">
        <f>IFERROR(VLOOKUP(Tabela1[[#This Row],[login]],Certificados!A:B,2,0),"-")</f>
        <v>Sim</v>
      </c>
    </row>
    <row r="58" spans="1:7" x14ac:dyDescent="0.25">
      <c r="A58" s="7">
        <v>8428</v>
      </c>
      <c r="B58" s="3" t="s">
        <v>76</v>
      </c>
      <c r="C58" s="6" t="s">
        <v>148</v>
      </c>
      <c r="D58" s="4" t="str">
        <f>IFERROR(VLOOKUP(Tabela1[[#This Row],[login]],Tabela5[#All],2,0),"-")</f>
        <v>Sim</v>
      </c>
      <c r="E58" s="4" t="s">
        <v>170</v>
      </c>
      <c r="F58" s="16">
        <v>5996</v>
      </c>
      <c r="G58" s="5" t="str">
        <f>IFERROR(VLOOKUP(Tabela1[[#This Row],[login]],Certificados!A:B,2,0),"-")</f>
        <v>Sim</v>
      </c>
    </row>
    <row r="59" spans="1:7" x14ac:dyDescent="0.25">
      <c r="A59" s="7">
        <v>8655</v>
      </c>
      <c r="B59" s="3" t="s">
        <v>77</v>
      </c>
      <c r="C59" s="2" t="s">
        <v>149</v>
      </c>
      <c r="D59" s="4" t="str">
        <f>IFERROR(VLOOKUP(Tabela1[[#This Row],[login]],Tabela5[#All],2,0),"-")</f>
        <v>Não</v>
      </c>
      <c r="E59" s="4" t="s">
        <v>170</v>
      </c>
      <c r="F59" s="16">
        <v>5996</v>
      </c>
      <c r="G59" s="5" t="str">
        <f>IFERROR(VLOOKUP(Tabela1[[#This Row],[login]],Certificados!A:B,2,0),"-")</f>
        <v>-</v>
      </c>
    </row>
    <row r="60" spans="1:7" x14ac:dyDescent="0.25">
      <c r="A60" s="7">
        <v>8060</v>
      </c>
      <c r="B60" s="3" t="s">
        <v>78</v>
      </c>
      <c r="C60" s="6" t="s">
        <v>150</v>
      </c>
      <c r="D60" s="4" t="str">
        <f>IFERROR(VLOOKUP(Tabela1[[#This Row],[login]],Tabela5[#All],2,0),"-")</f>
        <v>-</v>
      </c>
      <c r="E60" s="4" t="s">
        <v>170</v>
      </c>
      <c r="F60" s="16">
        <v>4045</v>
      </c>
      <c r="G60" s="5" t="str">
        <f>IFERROR(VLOOKUP(Tabela1[[#This Row],[login]],Certificados!A:B,2,0),"-")</f>
        <v>Não</v>
      </c>
    </row>
    <row r="61" spans="1:7" x14ac:dyDescent="0.25">
      <c r="A61" s="7">
        <v>7429</v>
      </c>
      <c r="B61" s="3" t="s">
        <v>79</v>
      </c>
      <c r="C61" s="6" t="s">
        <v>151</v>
      </c>
      <c r="D61" s="4" t="str">
        <f>IFERROR(VLOOKUP(Tabela1[[#This Row],[login]],Tabela5[#All],2,0),"-")</f>
        <v>Sim</v>
      </c>
      <c r="E61" s="4" t="s">
        <v>170</v>
      </c>
      <c r="F61" s="16">
        <v>4045</v>
      </c>
      <c r="G61" s="5" t="str">
        <f>IFERROR(VLOOKUP(Tabela1[[#This Row],[login]],Certificados!A:B,2,0),"-")</f>
        <v>Sim</v>
      </c>
    </row>
    <row r="62" spans="1:7" x14ac:dyDescent="0.25">
      <c r="A62" s="7">
        <v>6927</v>
      </c>
      <c r="B62" s="3" t="s">
        <v>80</v>
      </c>
      <c r="C62" s="6" t="s">
        <v>152</v>
      </c>
      <c r="D62" s="4" t="str">
        <f>IFERROR(VLOOKUP(Tabela1[[#This Row],[login]],Tabela5[#All],2,0),"-")</f>
        <v>Sim</v>
      </c>
      <c r="E62" s="4" t="s">
        <v>170</v>
      </c>
      <c r="F62" s="16">
        <v>4045</v>
      </c>
      <c r="G62" s="5" t="str">
        <f>IFERROR(VLOOKUP(Tabela1[[#This Row],[login]],Certificados!A:B,2,0),"-")</f>
        <v>Sim</v>
      </c>
    </row>
    <row r="63" spans="1:7" x14ac:dyDescent="0.25">
      <c r="A63" s="7">
        <v>8394</v>
      </c>
      <c r="B63" s="3" t="s">
        <v>81</v>
      </c>
      <c r="C63" s="6" t="s">
        <v>153</v>
      </c>
      <c r="D63" s="4" t="str">
        <f>IFERROR(VLOOKUP(Tabela1[[#This Row],[login]],Tabela5[#All],2,0),"-")</f>
        <v>Sim</v>
      </c>
      <c r="E63" s="4" t="s">
        <v>170</v>
      </c>
      <c r="F63" s="16">
        <v>6540</v>
      </c>
      <c r="G63" s="5" t="str">
        <f>IFERROR(VLOOKUP(Tabela1[[#This Row],[login]],Certificados!A:B,2,0),"-")</f>
        <v>Sim</v>
      </c>
    </row>
    <row r="64" spans="1:7" x14ac:dyDescent="0.25">
      <c r="A64" s="7">
        <v>8491</v>
      </c>
      <c r="B64" s="3" t="s">
        <v>82</v>
      </c>
      <c r="C64" s="6" t="s">
        <v>154</v>
      </c>
      <c r="D64" s="4" t="str">
        <f>IFERROR(VLOOKUP(Tabela1[[#This Row],[login]],Tabela5[#All],2,0),"-")</f>
        <v>Sim</v>
      </c>
      <c r="E64" s="4" t="s">
        <v>170</v>
      </c>
      <c r="F64" s="16">
        <v>6540</v>
      </c>
      <c r="G64" s="5" t="str">
        <f>IFERROR(VLOOKUP(Tabela1[[#This Row],[login]],Certificados!A:B,2,0),"-")</f>
        <v>Sim</v>
      </c>
    </row>
    <row r="65" spans="1:7" x14ac:dyDescent="0.25">
      <c r="A65" s="7">
        <v>8373</v>
      </c>
      <c r="B65" s="3" t="s">
        <v>83</v>
      </c>
      <c r="C65" s="6" t="s">
        <v>155</v>
      </c>
      <c r="D65" s="4" t="str">
        <f>IFERROR(VLOOKUP(Tabela1[[#This Row],[login]],Tabela5[#All],2,0),"-")</f>
        <v>Sim</v>
      </c>
      <c r="E65" s="4" t="s">
        <v>170</v>
      </c>
      <c r="F65" s="16">
        <v>6540</v>
      </c>
      <c r="G65" s="5" t="str">
        <f>IFERROR(VLOOKUP(Tabela1[[#This Row],[login]],Certificados!A:B,2,0),"-")</f>
        <v>Sim</v>
      </c>
    </row>
    <row r="66" spans="1:7" x14ac:dyDescent="0.25">
      <c r="A66" s="7">
        <v>8503</v>
      </c>
      <c r="B66" s="3" t="s">
        <v>84</v>
      </c>
      <c r="C66" s="6" t="s">
        <v>156</v>
      </c>
      <c r="D66" s="4" t="str">
        <f>IFERROR(VLOOKUP(Tabela1[[#This Row],[login]],Tabela5[#All],2,0),"-")</f>
        <v>Não</v>
      </c>
      <c r="E66" s="4" t="s">
        <v>170</v>
      </c>
      <c r="F66" s="16">
        <v>5996</v>
      </c>
      <c r="G66" s="5" t="str">
        <f>IFERROR(VLOOKUP(Tabela1[[#This Row],[login]],Certificados!A:B,2,0),"-")</f>
        <v>Não</v>
      </c>
    </row>
    <row r="67" spans="1:7" x14ac:dyDescent="0.25">
      <c r="A67" s="7">
        <v>6588</v>
      </c>
      <c r="B67" s="3" t="s">
        <v>85</v>
      </c>
      <c r="C67" s="6" t="s">
        <v>157</v>
      </c>
      <c r="D67" s="4" t="str">
        <f>IFERROR(VLOOKUP(Tabela1[[#This Row],[login]],Tabela5[#All],2,0),"-")</f>
        <v>Não</v>
      </c>
      <c r="E67" s="4" t="s">
        <v>170</v>
      </c>
      <c r="F67" s="16">
        <v>5996</v>
      </c>
      <c r="G67" s="5" t="str">
        <f>IFERROR(VLOOKUP(Tabela1[[#This Row],[login]],Certificados!A:B,2,0),"-")</f>
        <v>Sim</v>
      </c>
    </row>
    <row r="68" spans="1:7" x14ac:dyDescent="0.25">
      <c r="A68" s="7">
        <v>8203</v>
      </c>
      <c r="B68" s="3" t="s">
        <v>86</v>
      </c>
      <c r="C68" s="6" t="s">
        <v>158</v>
      </c>
      <c r="D68" s="4" t="str">
        <f>IFERROR(VLOOKUP(Tabela1[[#This Row],[login]],Tabela5[#All],2,0),"-")</f>
        <v>Sim</v>
      </c>
      <c r="E68" s="4" t="s">
        <v>170</v>
      </c>
      <c r="F68" s="16">
        <v>4045</v>
      </c>
      <c r="G68" s="5" t="str">
        <f>IFERROR(VLOOKUP(Tabela1[[#This Row],[login]],Certificados!A:B,2,0),"-")</f>
        <v>Não</v>
      </c>
    </row>
    <row r="69" spans="1:7" x14ac:dyDescent="0.25">
      <c r="A69" s="7">
        <v>8501</v>
      </c>
      <c r="B69" s="3" t="s">
        <v>87</v>
      </c>
      <c r="C69" s="6" t="s">
        <v>159</v>
      </c>
      <c r="D69" s="4" t="str">
        <f>IFERROR(VLOOKUP(Tabela1[[#This Row],[login]],Tabela5[#All],2,0),"-")</f>
        <v>Não</v>
      </c>
      <c r="E69" s="4" t="s">
        <v>170</v>
      </c>
      <c r="F69" s="16">
        <v>5996</v>
      </c>
      <c r="G69" s="5" t="str">
        <f>IFERROR(VLOOKUP(Tabela1[[#This Row],[login]],Certificados!A:B,2,0),"-")</f>
        <v>Sim</v>
      </c>
    </row>
    <row r="70" spans="1:7" x14ac:dyDescent="0.25">
      <c r="A70" s="7">
        <v>8562</v>
      </c>
      <c r="B70" s="3" t="s">
        <v>88</v>
      </c>
      <c r="C70" s="6" t="s">
        <v>160</v>
      </c>
      <c r="D70" s="4" t="str">
        <f>IFERROR(VLOOKUP(Tabela1[[#This Row],[login]],Tabela5[#All],2,0),"-")</f>
        <v>Não</v>
      </c>
      <c r="E70" s="4" t="s">
        <v>170</v>
      </c>
      <c r="F70" s="16">
        <v>6540</v>
      </c>
      <c r="G70" s="5" t="str">
        <f>IFERROR(VLOOKUP(Tabela1[[#This Row],[login]],Certificados!A:B,2,0),"-")</f>
        <v>-</v>
      </c>
    </row>
    <row r="71" spans="1:7" x14ac:dyDescent="0.25">
      <c r="A71" s="7">
        <v>8339</v>
      </c>
      <c r="B71" s="3" t="s">
        <v>89</v>
      </c>
      <c r="C71" s="6" t="s">
        <v>161</v>
      </c>
      <c r="D71" s="4" t="str">
        <f>IFERROR(VLOOKUP(Tabela1[[#This Row],[login]],Tabela5[#All],2,0),"-")</f>
        <v>Sim</v>
      </c>
      <c r="E71" s="4" t="s">
        <v>170</v>
      </c>
      <c r="F71" s="16">
        <v>4045</v>
      </c>
      <c r="G71" s="5" t="str">
        <f>IFERROR(VLOOKUP(Tabela1[[#This Row],[login]],Certificados!A:B,2,0),"-")</f>
        <v>Sim</v>
      </c>
    </row>
    <row r="72" spans="1:7" x14ac:dyDescent="0.25">
      <c r="A72" s="12">
        <v>7140</v>
      </c>
      <c r="B72" s="13" t="s">
        <v>90</v>
      </c>
      <c r="C72" s="14" t="s">
        <v>162</v>
      </c>
      <c r="D72" s="15" t="str">
        <f>IFERROR(VLOOKUP(Tabela1[[#This Row],[login]],Tabela5[#All],2,0),"-")</f>
        <v>Não</v>
      </c>
      <c r="E72" s="15" t="s">
        <v>170</v>
      </c>
      <c r="F72" s="16">
        <v>5996</v>
      </c>
      <c r="G72" s="5" t="str">
        <f>IFERROR(VLOOKUP(Tabela1[[#This Row],[login]],Certificados!A:B,2,0),"-")</f>
        <v>Sim</v>
      </c>
    </row>
  </sheetData>
  <conditionalFormatting sqref="A2:A8">
    <cfRule type="duplicateValues" dxfId="4" priority="3"/>
  </conditionalFormatting>
  <conditionalFormatting sqref="B2:B72">
    <cfRule type="duplicateValues" dxfId="3" priority="1"/>
    <cfRule type="duplicateValues" dxfId="2" priority="2"/>
  </conditionalFormatting>
  <conditionalFormatting sqref="B9:B70">
    <cfRule type="duplicateValues" dxfId="1" priority="4"/>
  </conditionalFormatting>
  <conditionalFormatting sqref="C2:C70">
    <cfRule type="duplicateValues" dxfId="0" priority="5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E2B8-80CA-42B0-86FE-99FBDC4CEA35}">
  <dimension ref="A1:H74"/>
  <sheetViews>
    <sheetView workbookViewId="0">
      <selection activeCell="L22" sqref="L22"/>
    </sheetView>
  </sheetViews>
  <sheetFormatPr defaultRowHeight="15" x14ac:dyDescent="0.25"/>
  <cols>
    <col min="2" max="2" width="24.5703125" style="5" bestFit="1" customWidth="1"/>
    <col min="3" max="3" width="9.140625" style="5"/>
    <col min="5" max="5" width="23.5703125" style="5" customWidth="1"/>
    <col min="7" max="7" width="9" customWidth="1"/>
    <col min="8" max="8" width="25.85546875" style="5" customWidth="1"/>
  </cols>
  <sheetData>
    <row r="1" spans="1:8" x14ac:dyDescent="0.25">
      <c r="A1" s="5" t="s">
        <v>163</v>
      </c>
      <c r="B1" s="5" t="s">
        <v>186</v>
      </c>
      <c r="C1"/>
      <c r="D1" s="27" t="s">
        <v>163</v>
      </c>
      <c r="E1" s="28" t="s">
        <v>187</v>
      </c>
      <c r="G1" s="27" t="s">
        <v>163</v>
      </c>
      <c r="H1" s="28" t="s">
        <v>188</v>
      </c>
    </row>
    <row r="2" spans="1:8" x14ac:dyDescent="0.25">
      <c r="A2" s="5" t="s">
        <v>21</v>
      </c>
      <c r="B2" s="5" t="s">
        <v>168</v>
      </c>
      <c r="C2"/>
      <c r="D2" t="s">
        <v>23</v>
      </c>
      <c r="E2" s="5" t="s">
        <v>168</v>
      </c>
      <c r="G2" t="s">
        <v>31</v>
      </c>
      <c r="H2" s="5" t="s">
        <v>168</v>
      </c>
    </row>
    <row r="3" spans="1:8" x14ac:dyDescent="0.25">
      <c r="A3" s="5" t="s">
        <v>177</v>
      </c>
      <c r="B3" s="5" t="s">
        <v>168</v>
      </c>
      <c r="C3"/>
      <c r="D3" t="s">
        <v>74</v>
      </c>
      <c r="E3" s="5" t="s">
        <v>168</v>
      </c>
      <c r="G3" t="s">
        <v>164</v>
      </c>
      <c r="H3" s="5" t="s">
        <v>168</v>
      </c>
    </row>
    <row r="4" spans="1:8" x14ac:dyDescent="0.25">
      <c r="A4" s="5" t="s">
        <v>38</v>
      </c>
      <c r="B4" s="5" t="s">
        <v>168</v>
      </c>
      <c r="C4"/>
      <c r="D4" t="s">
        <v>81</v>
      </c>
      <c r="E4" s="5" t="s">
        <v>168</v>
      </c>
      <c r="G4" t="s">
        <v>33</v>
      </c>
      <c r="H4" s="5" t="s">
        <v>168</v>
      </c>
    </row>
    <row r="5" spans="1:8" x14ac:dyDescent="0.25">
      <c r="A5" s="5" t="s">
        <v>56</v>
      </c>
      <c r="B5" s="5" t="s">
        <v>168</v>
      </c>
      <c r="C5"/>
      <c r="D5" t="s">
        <v>24</v>
      </c>
      <c r="E5" s="5" t="s">
        <v>169</v>
      </c>
      <c r="G5" t="s">
        <v>40</v>
      </c>
      <c r="H5" s="5" t="s">
        <v>168</v>
      </c>
    </row>
    <row r="6" spans="1:8" x14ac:dyDescent="0.25">
      <c r="A6" s="5" t="s">
        <v>71</v>
      </c>
      <c r="B6" s="5" t="s">
        <v>168</v>
      </c>
      <c r="C6"/>
      <c r="D6" t="s">
        <v>182</v>
      </c>
      <c r="E6" s="5" t="s">
        <v>169</v>
      </c>
      <c r="G6" t="s">
        <v>47</v>
      </c>
      <c r="H6" s="5" t="s">
        <v>168</v>
      </c>
    </row>
    <row r="7" spans="1:8" x14ac:dyDescent="0.25">
      <c r="A7" s="5" t="s">
        <v>167</v>
      </c>
      <c r="B7" s="5" t="s">
        <v>168</v>
      </c>
      <c r="C7"/>
      <c r="D7" t="s">
        <v>33</v>
      </c>
      <c r="E7" s="5" t="s">
        <v>169</v>
      </c>
      <c r="G7" t="s">
        <v>63</v>
      </c>
      <c r="H7" s="5" t="s">
        <v>168</v>
      </c>
    </row>
    <row r="8" spans="1:8" x14ac:dyDescent="0.25">
      <c r="A8" s="5" t="s">
        <v>84</v>
      </c>
      <c r="B8" s="5" t="s">
        <v>168</v>
      </c>
      <c r="C8"/>
      <c r="D8" t="s">
        <v>36</v>
      </c>
      <c r="E8" s="5" t="s">
        <v>169</v>
      </c>
      <c r="G8" t="s">
        <v>74</v>
      </c>
      <c r="H8" s="5" t="s">
        <v>168</v>
      </c>
    </row>
    <row r="9" spans="1:8" x14ac:dyDescent="0.25">
      <c r="A9" s="5" t="s">
        <v>22</v>
      </c>
      <c r="B9" s="5" t="s">
        <v>169</v>
      </c>
      <c r="C9"/>
      <c r="D9" t="s">
        <v>40</v>
      </c>
      <c r="E9" s="5" t="s">
        <v>169</v>
      </c>
      <c r="G9" t="s">
        <v>88</v>
      </c>
      <c r="H9" s="5" t="s">
        <v>168</v>
      </c>
    </row>
    <row r="10" spans="1:8" x14ac:dyDescent="0.25">
      <c r="A10" s="5" t="s">
        <v>32</v>
      </c>
      <c r="B10" s="5" t="s">
        <v>169</v>
      </c>
      <c r="C10"/>
      <c r="D10" t="s">
        <v>41</v>
      </c>
      <c r="E10" s="5" t="s">
        <v>169</v>
      </c>
      <c r="G10" t="s">
        <v>23</v>
      </c>
      <c r="H10" s="5" t="s">
        <v>169</v>
      </c>
    </row>
    <row r="11" spans="1:8" x14ac:dyDescent="0.25">
      <c r="A11" s="5" t="s">
        <v>175</v>
      </c>
      <c r="B11" s="5" t="s">
        <v>169</v>
      </c>
      <c r="C11"/>
      <c r="D11" t="s">
        <v>44</v>
      </c>
      <c r="E11" s="5" t="s">
        <v>169</v>
      </c>
      <c r="G11" t="s">
        <v>24</v>
      </c>
      <c r="H11" s="5" t="s">
        <v>169</v>
      </c>
    </row>
    <row r="12" spans="1:8" x14ac:dyDescent="0.25">
      <c r="A12" s="5" t="s">
        <v>42</v>
      </c>
      <c r="B12" s="5" t="s">
        <v>169</v>
      </c>
      <c r="C12"/>
      <c r="D12" t="s">
        <v>47</v>
      </c>
      <c r="E12" s="5" t="s">
        <v>169</v>
      </c>
      <c r="G12" t="s">
        <v>36</v>
      </c>
      <c r="H12" s="5" t="s">
        <v>169</v>
      </c>
    </row>
    <row r="13" spans="1:8" x14ac:dyDescent="0.25">
      <c r="A13" s="5" t="s">
        <v>178</v>
      </c>
      <c r="B13" s="5" t="s">
        <v>169</v>
      </c>
      <c r="C13"/>
      <c r="D13" t="s">
        <v>49</v>
      </c>
      <c r="E13" s="5" t="s">
        <v>169</v>
      </c>
      <c r="G13" t="s">
        <v>41</v>
      </c>
      <c r="H13" s="5" t="s">
        <v>169</v>
      </c>
    </row>
    <row r="14" spans="1:8" x14ac:dyDescent="0.25">
      <c r="A14" s="5" t="s">
        <v>57</v>
      </c>
      <c r="B14" s="5" t="s">
        <v>169</v>
      </c>
      <c r="C14"/>
      <c r="D14" t="s">
        <v>52</v>
      </c>
      <c r="E14" s="5" t="s">
        <v>169</v>
      </c>
      <c r="G14" t="s">
        <v>44</v>
      </c>
      <c r="H14" s="5" t="s">
        <v>169</v>
      </c>
    </row>
    <row r="15" spans="1:8" x14ac:dyDescent="0.25">
      <c r="A15" s="5" t="s">
        <v>59</v>
      </c>
      <c r="B15" s="5" t="s">
        <v>169</v>
      </c>
      <c r="C15"/>
      <c r="D15" t="s">
        <v>61</v>
      </c>
      <c r="E15" s="5" t="s">
        <v>169</v>
      </c>
      <c r="G15" t="s">
        <v>46</v>
      </c>
      <c r="H15" s="5" t="s">
        <v>169</v>
      </c>
    </row>
    <row r="16" spans="1:8" x14ac:dyDescent="0.25">
      <c r="A16" s="5" t="s">
        <v>66</v>
      </c>
      <c r="B16" s="5" t="s">
        <v>169</v>
      </c>
      <c r="C16"/>
      <c r="D16" t="s">
        <v>62</v>
      </c>
      <c r="E16" s="5" t="s">
        <v>169</v>
      </c>
      <c r="G16" t="s">
        <v>49</v>
      </c>
      <c r="H16" s="5" t="s">
        <v>169</v>
      </c>
    </row>
    <row r="17" spans="1:8" x14ac:dyDescent="0.25">
      <c r="A17" s="5" t="s">
        <v>67</v>
      </c>
      <c r="B17" s="5" t="s">
        <v>169</v>
      </c>
      <c r="C17"/>
      <c r="D17" t="s">
        <v>63</v>
      </c>
      <c r="E17" s="5" t="s">
        <v>169</v>
      </c>
      <c r="G17" t="s">
        <v>52</v>
      </c>
      <c r="H17" s="5" t="s">
        <v>169</v>
      </c>
    </row>
    <row r="18" spans="1:8" x14ac:dyDescent="0.25">
      <c r="A18" s="5" t="s">
        <v>74</v>
      </c>
      <c r="B18" s="5" t="s">
        <v>169</v>
      </c>
      <c r="C18"/>
      <c r="D18" t="s">
        <v>184</v>
      </c>
      <c r="E18" s="5" t="s">
        <v>169</v>
      </c>
      <c r="G18" t="s">
        <v>61</v>
      </c>
      <c r="H18" s="5" t="s">
        <v>169</v>
      </c>
    </row>
    <row r="19" spans="1:8" x14ac:dyDescent="0.25">
      <c r="A19" s="5" t="s">
        <v>76</v>
      </c>
      <c r="B19" s="5" t="s">
        <v>169</v>
      </c>
      <c r="C19"/>
      <c r="D19" t="s">
        <v>65</v>
      </c>
      <c r="E19" s="5" t="s">
        <v>169</v>
      </c>
      <c r="G19" t="s">
        <v>62</v>
      </c>
      <c r="H19" s="5" t="s">
        <v>169</v>
      </c>
    </row>
    <row r="20" spans="1:8" x14ac:dyDescent="0.25">
      <c r="A20" s="5" t="s">
        <v>179</v>
      </c>
      <c r="B20" s="5" t="s">
        <v>169</v>
      </c>
      <c r="C20"/>
      <c r="D20" t="s">
        <v>75</v>
      </c>
      <c r="E20" s="5" t="s">
        <v>169</v>
      </c>
      <c r="G20" t="s">
        <v>64</v>
      </c>
      <c r="H20" s="5" t="s">
        <v>169</v>
      </c>
    </row>
    <row r="21" spans="1:8" x14ac:dyDescent="0.25">
      <c r="A21" s="5" t="s">
        <v>85</v>
      </c>
      <c r="B21" s="5" t="s">
        <v>169</v>
      </c>
      <c r="C21"/>
      <c r="D21" t="s">
        <v>82</v>
      </c>
      <c r="E21" s="5" t="s">
        <v>169</v>
      </c>
      <c r="G21" t="s">
        <v>65</v>
      </c>
      <c r="H21" s="5" t="s">
        <v>169</v>
      </c>
    </row>
    <row r="22" spans="1:8" x14ac:dyDescent="0.25">
      <c r="A22" s="5" t="s">
        <v>87</v>
      </c>
      <c r="B22" s="5" t="s">
        <v>169</v>
      </c>
      <c r="C22"/>
      <c r="D22" t="s">
        <v>83</v>
      </c>
      <c r="E22" s="5" t="s">
        <v>169</v>
      </c>
      <c r="G22" t="s">
        <v>75</v>
      </c>
      <c r="H22" s="5" t="s">
        <v>169</v>
      </c>
    </row>
    <row r="23" spans="1:8" x14ac:dyDescent="0.25">
      <c r="A23" s="5" t="s">
        <v>90</v>
      </c>
      <c r="B23" s="5" t="s">
        <v>169</v>
      </c>
      <c r="C23"/>
      <c r="D23" t="s">
        <v>88</v>
      </c>
      <c r="E23" s="5" t="s">
        <v>169</v>
      </c>
      <c r="G23" t="s">
        <v>81</v>
      </c>
      <c r="H23" s="5" t="s">
        <v>169</v>
      </c>
    </row>
    <row r="24" spans="1:8" x14ac:dyDescent="0.25">
      <c r="A24" s="5" t="s">
        <v>46</v>
      </c>
      <c r="B24" s="5" t="s">
        <v>168</v>
      </c>
      <c r="C24"/>
      <c r="D24" t="s">
        <v>39</v>
      </c>
      <c r="E24" s="5" t="s">
        <v>168</v>
      </c>
      <c r="G24" t="s">
        <v>82</v>
      </c>
      <c r="H24" s="5" t="s">
        <v>169</v>
      </c>
    </row>
    <row r="25" spans="1:8" x14ac:dyDescent="0.25">
      <c r="A25" s="5" t="s">
        <v>166</v>
      </c>
      <c r="B25" s="5" t="s">
        <v>168</v>
      </c>
      <c r="C25"/>
      <c r="D25" t="s">
        <v>165</v>
      </c>
      <c r="E25" s="5" t="s">
        <v>168</v>
      </c>
      <c r="G25" t="s">
        <v>83</v>
      </c>
      <c r="H25" s="5" t="s">
        <v>169</v>
      </c>
    </row>
    <row r="26" spans="1:8" x14ac:dyDescent="0.25">
      <c r="A26" s="5" t="s">
        <v>86</v>
      </c>
      <c r="B26" s="5" t="s">
        <v>168</v>
      </c>
      <c r="C26"/>
      <c r="D26" t="s">
        <v>69</v>
      </c>
      <c r="E26" s="5" t="s">
        <v>168</v>
      </c>
      <c r="G26" t="s">
        <v>34</v>
      </c>
      <c r="H26" s="5" t="s">
        <v>168</v>
      </c>
    </row>
    <row r="27" spans="1:8" x14ac:dyDescent="0.25">
      <c r="A27" s="5" t="s">
        <v>25</v>
      </c>
      <c r="B27" s="5" t="s">
        <v>169</v>
      </c>
      <c r="C27"/>
      <c r="D27" t="s">
        <v>166</v>
      </c>
      <c r="E27" s="5" t="s">
        <v>168</v>
      </c>
      <c r="G27" t="s">
        <v>35</v>
      </c>
      <c r="H27" s="5" t="s">
        <v>168</v>
      </c>
    </row>
    <row r="28" spans="1:8" x14ac:dyDescent="0.25">
      <c r="A28" s="5" t="s">
        <v>26</v>
      </c>
      <c r="B28" s="5" t="s">
        <v>169</v>
      </c>
      <c r="C28"/>
      <c r="D28" t="s">
        <v>78</v>
      </c>
      <c r="E28" s="5" t="s">
        <v>168</v>
      </c>
      <c r="G28" t="s">
        <v>37</v>
      </c>
      <c r="H28" s="5" t="s">
        <v>168</v>
      </c>
    </row>
    <row r="29" spans="1:8" x14ac:dyDescent="0.25">
      <c r="A29" s="5" t="s">
        <v>27</v>
      </c>
      <c r="B29" s="5" t="s">
        <v>169</v>
      </c>
      <c r="C29"/>
      <c r="D29" t="s">
        <v>86</v>
      </c>
      <c r="E29" s="5" t="s">
        <v>168</v>
      </c>
      <c r="G29" t="s">
        <v>38</v>
      </c>
      <c r="H29" s="5" t="s">
        <v>168</v>
      </c>
    </row>
    <row r="30" spans="1:8" x14ac:dyDescent="0.25">
      <c r="A30" s="5" t="s">
        <v>28</v>
      </c>
      <c r="B30" s="5" t="s">
        <v>169</v>
      </c>
      <c r="C30"/>
      <c r="D30" t="s">
        <v>25</v>
      </c>
      <c r="E30" s="5" t="s">
        <v>169</v>
      </c>
      <c r="G30" t="s">
        <v>51</v>
      </c>
      <c r="H30" s="5" t="s">
        <v>168</v>
      </c>
    </row>
    <row r="31" spans="1:8" x14ac:dyDescent="0.25">
      <c r="A31" s="5" t="s">
        <v>29</v>
      </c>
      <c r="B31" s="5" t="s">
        <v>169</v>
      </c>
      <c r="C31"/>
      <c r="D31" t="s">
        <v>26</v>
      </c>
      <c r="E31" s="5" t="s">
        <v>169</v>
      </c>
      <c r="G31" t="s">
        <v>58</v>
      </c>
      <c r="H31" s="5" t="s">
        <v>168</v>
      </c>
    </row>
    <row r="32" spans="1:8" x14ac:dyDescent="0.25">
      <c r="A32" s="5" t="s">
        <v>39</v>
      </c>
      <c r="B32" s="5" t="s">
        <v>169</v>
      </c>
      <c r="C32"/>
      <c r="D32" t="s">
        <v>27</v>
      </c>
      <c r="E32" s="5" t="s">
        <v>169</v>
      </c>
      <c r="G32" t="s">
        <v>70</v>
      </c>
      <c r="H32" s="5" t="s">
        <v>168</v>
      </c>
    </row>
    <row r="33" spans="1:8" x14ac:dyDescent="0.25">
      <c r="A33" s="5" t="s">
        <v>45</v>
      </c>
      <c r="B33" s="5" t="s">
        <v>169</v>
      </c>
      <c r="C33"/>
      <c r="D33" t="s">
        <v>28</v>
      </c>
      <c r="E33" s="5" t="s">
        <v>169</v>
      </c>
      <c r="G33" t="s">
        <v>20</v>
      </c>
      <c r="H33" s="5" t="s">
        <v>169</v>
      </c>
    </row>
    <row r="34" spans="1:8" x14ac:dyDescent="0.25">
      <c r="A34" s="5" t="s">
        <v>53</v>
      </c>
      <c r="B34" s="5" t="s">
        <v>169</v>
      </c>
      <c r="C34"/>
      <c r="D34" t="s">
        <v>35</v>
      </c>
      <c r="E34" s="5" t="s">
        <v>169</v>
      </c>
      <c r="G34" t="s">
        <v>25</v>
      </c>
      <c r="H34" s="5" t="s">
        <v>169</v>
      </c>
    </row>
    <row r="35" spans="1:8" x14ac:dyDescent="0.25">
      <c r="A35" s="5" t="s">
        <v>58</v>
      </c>
      <c r="B35" s="5" t="s">
        <v>169</v>
      </c>
      <c r="C35"/>
      <c r="D35" t="s">
        <v>38</v>
      </c>
      <c r="E35" s="5" t="s">
        <v>169</v>
      </c>
      <c r="G35" t="s">
        <v>26</v>
      </c>
      <c r="H35" s="5" t="s">
        <v>169</v>
      </c>
    </row>
    <row r="36" spans="1:8" x14ac:dyDescent="0.25">
      <c r="A36" s="5" t="s">
        <v>60</v>
      </c>
      <c r="B36" s="5" t="s">
        <v>169</v>
      </c>
      <c r="C36"/>
      <c r="D36" t="s">
        <v>185</v>
      </c>
      <c r="E36" s="5" t="s">
        <v>169</v>
      </c>
      <c r="G36" t="s">
        <v>27</v>
      </c>
      <c r="H36" s="5" t="s">
        <v>169</v>
      </c>
    </row>
    <row r="37" spans="1:8" x14ac:dyDescent="0.25">
      <c r="A37" s="5" t="s">
        <v>68</v>
      </c>
      <c r="B37" s="5" t="s">
        <v>169</v>
      </c>
      <c r="C37"/>
      <c r="D37" t="s">
        <v>45</v>
      </c>
      <c r="E37" s="5" t="s">
        <v>169</v>
      </c>
      <c r="G37" t="s">
        <v>28</v>
      </c>
      <c r="H37" s="5" t="s">
        <v>169</v>
      </c>
    </row>
    <row r="38" spans="1:8" x14ac:dyDescent="0.25">
      <c r="A38" s="5" t="s">
        <v>69</v>
      </c>
      <c r="B38" s="5" t="s">
        <v>169</v>
      </c>
      <c r="C38"/>
      <c r="D38" t="s">
        <v>46</v>
      </c>
      <c r="E38" s="5" t="s">
        <v>169</v>
      </c>
      <c r="G38" t="s">
        <v>30</v>
      </c>
      <c r="H38" s="5" t="s">
        <v>169</v>
      </c>
    </row>
    <row r="39" spans="1:8" x14ac:dyDescent="0.25">
      <c r="A39" s="5" t="s">
        <v>180</v>
      </c>
      <c r="B39" s="5" t="s">
        <v>169</v>
      </c>
      <c r="C39"/>
      <c r="D39" t="s">
        <v>53</v>
      </c>
      <c r="E39" s="5" t="s">
        <v>169</v>
      </c>
      <c r="G39" t="s">
        <v>50</v>
      </c>
      <c r="H39" s="5" t="s">
        <v>169</v>
      </c>
    </row>
    <row r="40" spans="1:8" x14ac:dyDescent="0.25">
      <c r="A40" s="5" t="s">
        <v>79</v>
      </c>
      <c r="B40" s="5" t="s">
        <v>169</v>
      </c>
      <c r="C40"/>
      <c r="D40" t="s">
        <v>58</v>
      </c>
      <c r="E40" s="5" t="s">
        <v>169</v>
      </c>
      <c r="G40" t="s">
        <v>53</v>
      </c>
      <c r="H40" s="5" t="s">
        <v>169</v>
      </c>
    </row>
    <row r="41" spans="1:8" x14ac:dyDescent="0.25">
      <c r="A41" s="5" t="s">
        <v>80</v>
      </c>
      <c r="B41" s="5" t="s">
        <v>169</v>
      </c>
      <c r="C41"/>
      <c r="D41" t="s">
        <v>60</v>
      </c>
      <c r="E41" s="5" t="s">
        <v>169</v>
      </c>
      <c r="G41" t="s">
        <v>165</v>
      </c>
      <c r="H41" s="5" t="s">
        <v>169</v>
      </c>
    </row>
    <row r="42" spans="1:8" x14ac:dyDescent="0.25">
      <c r="A42" s="5" t="s">
        <v>181</v>
      </c>
      <c r="B42" s="5" t="s">
        <v>169</v>
      </c>
      <c r="C42"/>
      <c r="D42" t="s">
        <v>68</v>
      </c>
      <c r="E42" s="5" t="s">
        <v>169</v>
      </c>
      <c r="G42" t="s">
        <v>57</v>
      </c>
      <c r="H42" s="5" t="s">
        <v>169</v>
      </c>
    </row>
    <row r="43" spans="1:8" x14ac:dyDescent="0.25">
      <c r="A43" s="5" t="s">
        <v>89</v>
      </c>
      <c r="B43" s="5" t="s">
        <v>169</v>
      </c>
      <c r="C43"/>
      <c r="D43" t="s">
        <v>70</v>
      </c>
      <c r="E43" s="5" t="s">
        <v>169</v>
      </c>
      <c r="G43" t="s">
        <v>60</v>
      </c>
      <c r="H43" s="5" t="s">
        <v>169</v>
      </c>
    </row>
    <row r="44" spans="1:8" x14ac:dyDescent="0.25">
      <c r="A44" s="5" t="s">
        <v>78</v>
      </c>
      <c r="B44" s="5" t="s">
        <v>168</v>
      </c>
      <c r="C44"/>
      <c r="D44" t="s">
        <v>79</v>
      </c>
      <c r="E44" s="5" t="s">
        <v>169</v>
      </c>
      <c r="G44" t="s">
        <v>68</v>
      </c>
      <c r="H44" s="5" t="s">
        <v>169</v>
      </c>
    </row>
    <row r="45" spans="1:8" x14ac:dyDescent="0.25">
      <c r="A45" s="5" t="s">
        <v>20</v>
      </c>
      <c r="B45" s="5" t="s">
        <v>169</v>
      </c>
      <c r="C45"/>
      <c r="D45" t="s">
        <v>80</v>
      </c>
      <c r="E45" s="5" t="s">
        <v>169</v>
      </c>
      <c r="G45" t="s">
        <v>69</v>
      </c>
      <c r="H45" s="5" t="s">
        <v>169</v>
      </c>
    </row>
    <row r="46" spans="1:8" x14ac:dyDescent="0.25">
      <c r="A46" s="5" t="s">
        <v>23</v>
      </c>
      <c r="B46" s="5" t="s">
        <v>169</v>
      </c>
      <c r="C46"/>
      <c r="D46" t="s">
        <v>89</v>
      </c>
      <c r="E46" s="5" t="s">
        <v>169</v>
      </c>
      <c r="G46" t="s">
        <v>166</v>
      </c>
      <c r="H46" s="5" t="s">
        <v>169</v>
      </c>
    </row>
    <row r="47" spans="1:8" x14ac:dyDescent="0.25">
      <c r="A47" s="5" t="s">
        <v>24</v>
      </c>
      <c r="B47" s="5" t="s">
        <v>169</v>
      </c>
      <c r="C47"/>
      <c r="D47" t="s">
        <v>21</v>
      </c>
      <c r="E47" s="5" t="s">
        <v>168</v>
      </c>
      <c r="G47" t="s">
        <v>73</v>
      </c>
      <c r="H47" s="5" t="s">
        <v>169</v>
      </c>
    </row>
    <row r="48" spans="1:8" x14ac:dyDescent="0.25">
      <c r="A48" s="5" t="s">
        <v>182</v>
      </c>
      <c r="B48" s="5" t="s">
        <v>169</v>
      </c>
      <c r="C48"/>
      <c r="D48" t="s">
        <v>37</v>
      </c>
      <c r="E48" s="5" t="s">
        <v>168</v>
      </c>
      <c r="G48" t="s">
        <v>79</v>
      </c>
      <c r="H48" s="5" t="s">
        <v>169</v>
      </c>
    </row>
    <row r="49" spans="1:8" x14ac:dyDescent="0.25">
      <c r="A49" s="5" t="s">
        <v>36</v>
      </c>
      <c r="B49" s="5" t="s">
        <v>169</v>
      </c>
      <c r="C49"/>
      <c r="D49" t="s">
        <v>50</v>
      </c>
      <c r="E49" s="5" t="s">
        <v>168</v>
      </c>
      <c r="G49" t="s">
        <v>86</v>
      </c>
      <c r="H49" s="5" t="s">
        <v>169</v>
      </c>
    </row>
    <row r="50" spans="1:8" x14ac:dyDescent="0.25">
      <c r="A50" s="5" t="s">
        <v>41</v>
      </c>
      <c r="B50" s="5" t="s">
        <v>169</v>
      </c>
      <c r="C50"/>
      <c r="D50" t="s">
        <v>56</v>
      </c>
      <c r="E50" s="5" t="s">
        <v>168</v>
      </c>
      <c r="G50" t="s">
        <v>89</v>
      </c>
      <c r="H50" s="5" t="s">
        <v>169</v>
      </c>
    </row>
    <row r="51" spans="1:8" x14ac:dyDescent="0.25">
      <c r="A51" s="5" t="s">
        <v>44</v>
      </c>
      <c r="B51" s="5" t="s">
        <v>169</v>
      </c>
      <c r="C51"/>
      <c r="D51" t="s">
        <v>71</v>
      </c>
      <c r="E51" s="5" t="s">
        <v>168</v>
      </c>
      <c r="G51" t="s">
        <v>22</v>
      </c>
      <c r="H51" s="5" t="s">
        <v>168</v>
      </c>
    </row>
    <row r="52" spans="1:8" x14ac:dyDescent="0.25">
      <c r="A52" s="5" t="s">
        <v>47</v>
      </c>
      <c r="B52" s="5" t="s">
        <v>169</v>
      </c>
      <c r="C52"/>
      <c r="D52" t="s">
        <v>167</v>
      </c>
      <c r="E52" s="5" t="s">
        <v>168</v>
      </c>
      <c r="G52" t="s">
        <v>39</v>
      </c>
      <c r="H52" s="5" t="s">
        <v>168</v>
      </c>
    </row>
    <row r="53" spans="1:8" x14ac:dyDescent="0.25">
      <c r="A53" s="5" t="s">
        <v>49</v>
      </c>
      <c r="B53" s="5" t="s">
        <v>169</v>
      </c>
      <c r="C53"/>
      <c r="D53" t="s">
        <v>20</v>
      </c>
      <c r="E53" s="5" t="s">
        <v>169</v>
      </c>
      <c r="G53" t="s">
        <v>43</v>
      </c>
      <c r="H53" s="5" t="s">
        <v>168</v>
      </c>
    </row>
    <row r="54" spans="1:8" x14ac:dyDescent="0.25">
      <c r="A54" s="5" t="s">
        <v>52</v>
      </c>
      <c r="B54" s="5" t="s">
        <v>169</v>
      </c>
      <c r="C54"/>
      <c r="D54" t="s">
        <v>22</v>
      </c>
      <c r="E54" s="5" t="s">
        <v>169</v>
      </c>
      <c r="G54" t="s">
        <v>45</v>
      </c>
      <c r="H54" s="5" t="s">
        <v>168</v>
      </c>
    </row>
    <row r="55" spans="1:8" x14ac:dyDescent="0.25">
      <c r="A55" s="5" t="s">
        <v>61</v>
      </c>
      <c r="B55" s="5" t="s">
        <v>169</v>
      </c>
      <c r="C55"/>
      <c r="D55" t="s">
        <v>29</v>
      </c>
      <c r="E55" s="5" t="s">
        <v>169</v>
      </c>
      <c r="G55" t="s">
        <v>48</v>
      </c>
      <c r="H55" s="5" t="s">
        <v>168</v>
      </c>
    </row>
    <row r="56" spans="1:8" x14ac:dyDescent="0.25">
      <c r="A56" s="5" t="s">
        <v>62</v>
      </c>
      <c r="B56" s="5" t="s">
        <v>169</v>
      </c>
      <c r="C56"/>
      <c r="D56" t="s">
        <v>32</v>
      </c>
      <c r="E56" s="5" t="s">
        <v>169</v>
      </c>
      <c r="G56" t="s">
        <v>55</v>
      </c>
      <c r="H56" s="5" t="s">
        <v>168</v>
      </c>
    </row>
    <row r="57" spans="1:8" x14ac:dyDescent="0.25">
      <c r="A57" s="5" t="s">
        <v>63</v>
      </c>
      <c r="B57" s="5" t="s">
        <v>169</v>
      </c>
      <c r="C57"/>
      <c r="D57" t="s">
        <v>42</v>
      </c>
      <c r="E57" s="5" t="s">
        <v>169</v>
      </c>
      <c r="G57" t="s">
        <v>59</v>
      </c>
      <c r="H57" s="5" t="s">
        <v>168</v>
      </c>
    </row>
    <row r="58" spans="1:8" x14ac:dyDescent="0.25">
      <c r="A58" s="5" t="s">
        <v>65</v>
      </c>
      <c r="B58" s="5" t="s">
        <v>169</v>
      </c>
      <c r="C58"/>
      <c r="D58" t="s">
        <v>55</v>
      </c>
      <c r="E58" s="5" t="s">
        <v>169</v>
      </c>
      <c r="G58" t="s">
        <v>71</v>
      </c>
      <c r="H58" s="5" t="s">
        <v>168</v>
      </c>
    </row>
    <row r="59" spans="1:8" x14ac:dyDescent="0.25">
      <c r="A59" s="5" t="s">
        <v>75</v>
      </c>
      <c r="B59" s="5" t="s">
        <v>169</v>
      </c>
      <c r="C59"/>
      <c r="D59" t="s">
        <v>57</v>
      </c>
      <c r="E59" s="5" t="s">
        <v>169</v>
      </c>
      <c r="G59" t="s">
        <v>77</v>
      </c>
      <c r="H59" s="5" t="s">
        <v>168</v>
      </c>
    </row>
    <row r="60" spans="1:8" x14ac:dyDescent="0.25">
      <c r="A60" s="5" t="s">
        <v>81</v>
      </c>
      <c r="B60" s="5" t="s">
        <v>169</v>
      </c>
      <c r="C60"/>
      <c r="D60" t="s">
        <v>59</v>
      </c>
      <c r="E60" s="5" t="s">
        <v>169</v>
      </c>
      <c r="G60" t="s">
        <v>84</v>
      </c>
      <c r="H60" s="5" t="s">
        <v>168</v>
      </c>
    </row>
    <row r="61" spans="1:8" x14ac:dyDescent="0.25">
      <c r="A61" s="5" t="s">
        <v>82</v>
      </c>
      <c r="B61" s="5" t="s">
        <v>169</v>
      </c>
      <c r="C61"/>
      <c r="D61" t="s">
        <v>66</v>
      </c>
      <c r="E61" s="5" t="s">
        <v>169</v>
      </c>
      <c r="G61" t="s">
        <v>85</v>
      </c>
      <c r="H61" s="5" t="s">
        <v>168</v>
      </c>
    </row>
    <row r="62" spans="1:8" x14ac:dyDescent="0.25">
      <c r="A62" s="5" t="s">
        <v>83</v>
      </c>
      <c r="B62" s="5" t="s">
        <v>169</v>
      </c>
      <c r="C62"/>
      <c r="D62" t="s">
        <v>67</v>
      </c>
      <c r="E62" s="5" t="s">
        <v>169</v>
      </c>
      <c r="G62" t="s">
        <v>87</v>
      </c>
      <c r="H62" s="5" t="s">
        <v>168</v>
      </c>
    </row>
    <row r="63" spans="1:8" x14ac:dyDescent="0.25">
      <c r="A63" s="5" t="s">
        <v>183</v>
      </c>
      <c r="B63" s="5" t="s">
        <v>169</v>
      </c>
      <c r="C63"/>
      <c r="D63" t="s">
        <v>76</v>
      </c>
      <c r="E63" s="5" t="s">
        <v>169</v>
      </c>
      <c r="G63" t="s">
        <v>90</v>
      </c>
      <c r="H63" s="5" t="s">
        <v>168</v>
      </c>
    </row>
    <row r="64" spans="1:8" x14ac:dyDescent="0.25">
      <c r="D64" t="s">
        <v>84</v>
      </c>
      <c r="E64" s="5" t="s">
        <v>169</v>
      </c>
      <c r="G64" t="s">
        <v>21</v>
      </c>
      <c r="H64" s="5" t="s">
        <v>169</v>
      </c>
    </row>
    <row r="65" spans="4:8" x14ac:dyDescent="0.25">
      <c r="D65" t="s">
        <v>85</v>
      </c>
      <c r="E65" s="5" t="s">
        <v>169</v>
      </c>
      <c r="G65" t="s">
        <v>29</v>
      </c>
      <c r="H65" s="5" t="s">
        <v>169</v>
      </c>
    </row>
    <row r="66" spans="4:8" x14ac:dyDescent="0.25">
      <c r="D66" t="s">
        <v>87</v>
      </c>
      <c r="E66" s="5" t="s">
        <v>169</v>
      </c>
      <c r="G66" t="s">
        <v>32</v>
      </c>
      <c r="H66" s="5" t="s">
        <v>169</v>
      </c>
    </row>
    <row r="67" spans="4:8" x14ac:dyDescent="0.25">
      <c r="D67" t="s">
        <v>90</v>
      </c>
      <c r="E67" s="5" t="s">
        <v>169</v>
      </c>
      <c r="G67" t="s">
        <v>42</v>
      </c>
      <c r="H67" s="5" t="s">
        <v>169</v>
      </c>
    </row>
    <row r="68" spans="4:8" x14ac:dyDescent="0.25">
      <c r="G68" t="s">
        <v>54</v>
      </c>
      <c r="H68" s="5" t="s">
        <v>169</v>
      </c>
    </row>
    <row r="69" spans="4:8" x14ac:dyDescent="0.25">
      <c r="G69" t="s">
        <v>56</v>
      </c>
      <c r="H69" s="5" t="s">
        <v>169</v>
      </c>
    </row>
    <row r="70" spans="4:8" x14ac:dyDescent="0.25">
      <c r="G70" t="s">
        <v>67</v>
      </c>
      <c r="H70" s="5" t="s">
        <v>169</v>
      </c>
    </row>
    <row r="71" spans="4:8" x14ac:dyDescent="0.25">
      <c r="G71" t="s">
        <v>167</v>
      </c>
      <c r="H71" s="5" t="s">
        <v>169</v>
      </c>
    </row>
    <row r="72" spans="4:8" x14ac:dyDescent="0.25">
      <c r="G72" t="s">
        <v>72</v>
      </c>
      <c r="H72" s="5" t="s">
        <v>169</v>
      </c>
    </row>
    <row r="73" spans="4:8" x14ac:dyDescent="0.25">
      <c r="G73" t="s">
        <v>76</v>
      </c>
      <c r="H73" s="5" t="s">
        <v>169</v>
      </c>
    </row>
    <row r="74" spans="4:8" x14ac:dyDescent="0.25">
      <c r="G74" t="s">
        <v>80</v>
      </c>
      <c r="H74" s="5" t="s">
        <v>169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Base_IQ</vt:lpstr>
      <vt:lpstr>Base_Tecnicos</vt:lpstr>
      <vt:lpstr>Certificados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Elcio Nunes</dc:creator>
  <cp:lastModifiedBy>Elcio Nunes</cp:lastModifiedBy>
  <dcterms:created xsi:type="dcterms:W3CDTF">2026-09-08T14:18:48Z</dcterms:created>
  <dcterms:modified xsi:type="dcterms:W3CDTF">2026-09-08T17:40:05Z</dcterms:modified>
</cp:coreProperties>
</file>