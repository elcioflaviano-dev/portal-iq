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otaltecnologia-my.sharepoint.com/personal/elcio_nunes_totaltecnologia_onmicrosoft_com/Documents/"/>
    </mc:Choice>
  </mc:AlternateContent>
  <xr:revisionPtr revIDLastSave="95" documentId="8_{8BD8343B-B209-456E-9F13-FD92A2C3CEF8}" xr6:coauthVersionLast="47" xr6:coauthVersionMax="47" xr10:uidLastSave="{04B471B0-93BC-493F-A98D-FD2ED3BB5D6D}"/>
  <bookViews>
    <workbookView xWindow="-120" yWindow="-120" windowWidth="24240" windowHeight="13020" activeTab="1" xr2:uid="{897EA0BA-11DF-40E6-8E49-799C2344DF81}"/>
  </bookViews>
  <sheets>
    <sheet name="Base_IQ" sheetId="1" r:id="rId1"/>
    <sheet name="Base_Tecnicos" sheetId="2" r:id="rId2"/>
    <sheet name="CERTIFICAD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2" i="2"/>
</calcChain>
</file>

<file path=xl/sharedStrings.xml><?xml version="1.0" encoding="utf-8"?>
<sst xmlns="http://schemas.openxmlformats.org/spreadsheetml/2006/main" count="4294967009" uniqueCount="175">
  <si>
    <t>re_iq</t>
  </si>
  <si>
    <t>senha</t>
  </si>
  <si>
    <t>nome_iq</t>
  </si>
  <si>
    <t>login</t>
  </si>
  <si>
    <t>nome</t>
  </si>
  <si>
    <t>status_certificacao</t>
  </si>
  <si>
    <t>regiao</t>
  </si>
  <si>
    <t>re_iq_responsavel</t>
  </si>
  <si>
    <t>ALEXANDRE DOS SANTOS SOUSA</t>
  </si>
  <si>
    <t>ELCIO FLAVIANO NUNES</t>
  </si>
  <si>
    <t>GENILSON FURTADO DE ALMEIDA</t>
  </si>
  <si>
    <t>DENIS DE SOUZA CARVALHO</t>
  </si>
  <si>
    <t>EDSON MARCO PINHEIRO</t>
  </si>
  <si>
    <t>THIAGO LOPES</t>
  </si>
  <si>
    <t>EDSON ALVES DE SOUSA</t>
  </si>
  <si>
    <t>MARCOS ROBERTO DO NASCIMENTO</t>
  </si>
  <si>
    <t>MAICON APARECIDO FARIA</t>
  </si>
  <si>
    <t>CARLOS EDUARDO DA SILVA CONCEICAO</t>
  </si>
  <si>
    <t>NELSON ALVES OLIVEIRA JUNIOR</t>
  </si>
  <si>
    <t>ANA CAROLINA MARÇON</t>
  </si>
  <si>
    <t>JOÃO RAFAEL BATISTA SILVA</t>
  </si>
  <si>
    <t>REBECA SOFIA GIMENEZ</t>
  </si>
  <si>
    <t>VANIA S SOUZA</t>
  </si>
  <si>
    <t>Z613057</t>
  </si>
  <si>
    <t>Z652293</t>
  </si>
  <si>
    <t>Z637976</t>
  </si>
  <si>
    <t>Z641759</t>
  </si>
  <si>
    <t>Z663524</t>
  </si>
  <si>
    <t>Z519356</t>
  </si>
  <si>
    <t>Z637977</t>
  </si>
  <si>
    <t>Z644006</t>
  </si>
  <si>
    <t>Z525216</t>
  </si>
  <si>
    <t>Z586735</t>
  </si>
  <si>
    <t>Z693598</t>
  </si>
  <si>
    <t>Z690989</t>
  </si>
  <si>
    <t>Z625770</t>
  </si>
  <si>
    <t>Z680770</t>
  </si>
  <si>
    <t>Z693637</t>
  </si>
  <si>
    <t>Z682064</t>
  </si>
  <si>
    <t>Z519358</t>
  </si>
  <si>
    <t>Z680670</t>
  </si>
  <si>
    <t>Z635520</t>
  </si>
  <si>
    <t>Z608752</t>
  </si>
  <si>
    <t>Z699964</t>
  </si>
  <si>
    <t>Z217678</t>
  </si>
  <si>
    <t>Z088626</t>
  </si>
  <si>
    <t>Z699164</t>
  </si>
  <si>
    <t>Z612970</t>
  </si>
  <si>
    <t>Z625771</t>
  </si>
  <si>
    <t>Z581680</t>
  </si>
  <si>
    <t>Z665110</t>
  </si>
  <si>
    <t>Z689683</t>
  </si>
  <si>
    <t>Z554027</t>
  </si>
  <si>
    <t>Z682123</t>
  </si>
  <si>
    <t>Z691707</t>
  </si>
  <si>
    <t>Z469231</t>
  </si>
  <si>
    <t>Z436101</t>
  </si>
  <si>
    <t>Z685699</t>
  </si>
  <si>
    <t>Z683233</t>
  </si>
  <si>
    <t>Z630528</t>
  </si>
  <si>
    <t>Z664397</t>
  </si>
  <si>
    <t>Z026513</t>
  </si>
  <si>
    <t>Z670462</t>
  </si>
  <si>
    <t>Z652296</t>
  </si>
  <si>
    <t>Z616635</t>
  </si>
  <si>
    <t>Z655739</t>
  </si>
  <si>
    <t>Z499403</t>
  </si>
  <si>
    <t>Z693191</t>
  </si>
  <si>
    <t>Z130818</t>
  </si>
  <si>
    <t>Z407896</t>
  </si>
  <si>
    <t>Z567879</t>
  </si>
  <si>
    <t>Z631291</t>
  </si>
  <si>
    <t>Z644011</t>
  </si>
  <si>
    <t>Z677795</t>
  </si>
  <si>
    <t>Z609273</t>
  </si>
  <si>
    <t>Z691039</t>
  </si>
  <si>
    <t>Z699942</t>
  </si>
  <si>
    <t>Z634719</t>
  </si>
  <si>
    <t>Z441159</t>
  </si>
  <si>
    <t>Z648220</t>
  </si>
  <si>
    <t>Z691708</t>
  </si>
  <si>
    <t>Z595554</t>
  </si>
  <si>
    <t>Z469239</t>
  </si>
  <si>
    <t>Z502024</t>
  </si>
  <si>
    <t>Z645616</t>
  </si>
  <si>
    <t>Z662641</t>
  </si>
  <si>
    <t>Z656713</t>
  </si>
  <si>
    <t>Z665100</t>
  </si>
  <si>
    <t>Z197454</t>
  </si>
  <si>
    <t>Z638812</t>
  </si>
  <si>
    <t>Z665101</t>
  </si>
  <si>
    <t>Z677281</t>
  </si>
  <si>
    <t>Z638189</t>
  </si>
  <si>
    <t>Z416256</t>
  </si>
  <si>
    <t>re</t>
  </si>
  <si>
    <t>ADRIEL ALEXANDER DE LIMA</t>
  </si>
  <si>
    <t>AIRON HENRIQUE FERREIRA MINA</t>
  </si>
  <si>
    <t>ALAN RODRIGUES COSTA</t>
  </si>
  <si>
    <t>ALEX BERNARDES DA SILVA</t>
  </si>
  <si>
    <t>ALEX DE JESUS FREIRE</t>
  </si>
  <si>
    <t>ALINE CAMARGO PIRES</t>
  </si>
  <si>
    <t>AMANDA CAROLINE DOS SANTOS</t>
  </si>
  <si>
    <t>ANA LUISA CULAU SILVA</t>
  </si>
  <si>
    <t>ANTONIO WESLEY HOLANDA DA SILVA</t>
  </si>
  <si>
    <t>AUGUSTO ERNANDES DA SILVA</t>
  </si>
  <si>
    <t>BEATRIZ CHAVES DE SOUSA</t>
  </si>
  <si>
    <t>BRUNO APARECIDO FREIRE MARCONDES</t>
  </si>
  <si>
    <t>CARLOS ALBERTO LIMA REBOUÇAS</t>
  </si>
  <si>
    <t>CRISTIAN NERY DA CRUZ</t>
  </si>
  <si>
    <t>DANIEL MARTINS DE MELO RODRIGUES</t>
  </si>
  <si>
    <t>DANIEL PRINCE CORTEZ GOMEZ</t>
  </si>
  <si>
    <t>DANIEL SOUZA OLIVEIRA</t>
  </si>
  <si>
    <t>DAVID DA SILVA DANIEL</t>
  </si>
  <si>
    <t>DEBORA BENEVENUTO PEREIRA</t>
  </si>
  <si>
    <t>DOMINGOS PEREIRA DA SILVA</t>
  </si>
  <si>
    <t>EDER SALES MONTEIRO</t>
  </si>
  <si>
    <t>EDUARDO FERNANDES BERNARDO DE MELO</t>
  </si>
  <si>
    <t>ENOQUE FERREIRA SANTOS FILHO</t>
  </si>
  <si>
    <t>ERIC PEREIRA PINTO</t>
  </si>
  <si>
    <t>ERICK PAULO FERREIRA DA SILVA</t>
  </si>
  <si>
    <t>ERIK CASSIMIRO DA SILVA GOMES</t>
  </si>
  <si>
    <t>ESTEVAM MATEUS GONCALVES</t>
  </si>
  <si>
    <t>EVERTON ALVES</t>
  </si>
  <si>
    <t>EVERTON SILVA DE OLIVEIRA</t>
  </si>
  <si>
    <t>FABIO OLIVEIRA MOURA</t>
  </si>
  <si>
    <t>FELIPE GROTKOWSKI DO NASCIMENTO</t>
  </si>
  <si>
    <t>FELIPE RODRIGUES CORREA</t>
  </si>
  <si>
    <t>FELIPI ANTONIO DA SILVA</t>
  </si>
  <si>
    <t>FRANCISCO IGOR SOARES DA SILVA</t>
  </si>
  <si>
    <t>FRANCISCO RONIEL NUNES ROCHA</t>
  </si>
  <si>
    <t>GUILHERME SILVA DOS SANTOS</t>
  </si>
  <si>
    <t>HELTON LIMA DE QUEIROZ</t>
  </si>
  <si>
    <t>IGOR DAVID DE MARCHI</t>
  </si>
  <si>
    <t>JAKSON DE JESUS E SILVA</t>
  </si>
  <si>
    <t>JAZIEL DOS SANTOS SILVA</t>
  </si>
  <si>
    <t>JEANDERSON SOUZA BERTO DA SILVA</t>
  </si>
  <si>
    <t>JEFFERSON FRANCISCO DA SILVA</t>
  </si>
  <si>
    <t>JOANDERSON LOPES DA CONCEIÇÃO</t>
  </si>
  <si>
    <t>JOAO BATISTA DE LIMA TOME</t>
  </si>
  <si>
    <t>JOSE CASSIO ALVES SAMPAIO</t>
  </si>
  <si>
    <t>JULIO CESAR SILVA DOS SANTOS</t>
  </si>
  <si>
    <t>JUSCIELIO LIRA DE OLIVEIRA</t>
  </si>
  <si>
    <t>LEANDRO SOARES DA SILVA</t>
  </si>
  <si>
    <t>LEONARDO BESERRA DOS SANTOS</t>
  </si>
  <si>
    <t>LUCAS SILVA DE LIMA</t>
  </si>
  <si>
    <t>LUCIANO DE JESUS COSTA</t>
  </si>
  <si>
    <t>MAICON JORDAN PEDRO DOS SANTOS GARCEZ</t>
  </si>
  <si>
    <t>MATEUS SETTE</t>
  </si>
  <si>
    <t>MATHEUS BOAVENTURA DA SILVA</t>
  </si>
  <si>
    <t>NATALIA SANT ANA VELASCO</t>
  </si>
  <si>
    <t>ODIRLEI APARECIDO PIERETI</t>
  </si>
  <si>
    <t>OSCLEY FRANCA DE SOUSA</t>
  </si>
  <si>
    <t>OTAVIO DA SILVA GONÇALVES</t>
  </si>
  <si>
    <t>PATRICIA DE ARAUJO RAMALHO</t>
  </si>
  <si>
    <t>PAULO CESAR BATISTA DE SOUSA</t>
  </si>
  <si>
    <t>RAFAEL DOS ANJOS BATISTA ONOFRE</t>
  </si>
  <si>
    <t>RICARDO SANTOS</t>
  </si>
  <si>
    <t>ROBERVAL LEAO DE ALBUQUERQUE</t>
  </si>
  <si>
    <t>RODRIGO FEITOZA DA SILVA</t>
  </si>
  <si>
    <t>SAMUEL AUGUSTO DE OLIVEIRA</t>
  </si>
  <si>
    <t>SIDNEY ROSENDO DA SILVA</t>
  </si>
  <si>
    <t>VICTOR MENDES DOS SANTOS</t>
  </si>
  <si>
    <t>VITOR MATOS DE ALMEIDA</t>
  </si>
  <si>
    <t>WASHINGTON LUIZ CARVALHO</t>
  </si>
  <si>
    <t>WESLAYNE CELINA FERREIRA SILVA</t>
  </si>
  <si>
    <t>YURI URCESINO COSTA</t>
  </si>
  <si>
    <t>LOGIN</t>
  </si>
  <si>
    <t>Z693905</t>
  </si>
  <si>
    <t>Z682066</t>
  </si>
  <si>
    <t>Z669198</t>
  </si>
  <si>
    <t>Z620327</t>
  </si>
  <si>
    <t>Prévia Certificado</t>
  </si>
  <si>
    <t>Não</t>
  </si>
  <si>
    <t>Sim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</si>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</sst>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8"/>
      <name val="Calibri"/>
      <family val="2"/>
    </font>
    <font>
      <sz val="8"/>
      <color theme="1"/>
      <name val="Calibri"/>
      <family val="2"/>
    </font>
    <font>
      <sz val="14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/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/>
    <xf numFmtId="0" fontId="3" fillId="0" borderId="3" xfId="0" applyFont="1" applyBorder="1" applyAlignment="1">
      <alignment horizontal="left"/>
    </xf>
    <xf numFmtId="0" fontId="0" fillId="0" borderId="5" xfId="0" applyBorder="1"/>
    <xf numFmtId="0" fontId="1" fillId="0" borderId="6" xfId="0" applyFon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3" fillId="0" borderId="8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/>
    <xf numFmtId="0" fontId="4" fillId="0" borderId="5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/>
    <xf numFmtId="0" fontId="0" fillId="0" borderId="8" xfId="0" applyBorder="1" applyAlignment="1">
      <alignment horizontal="center"/>
    </xf>
    <xf numFmtId="0" fontId="0" fillId="0" borderId="9" xfId="0" applyBorder="1" applyAlignment="1"/>
    <xf numFmtId="0" fontId="5" fillId="0" borderId="3" xfId="0" applyFont="1" applyFill="1" applyBorder="1" applyAlignment="1">
      <alignment vertical="center"/>
    </xf>
    <xf numFmtId="0" fontId="0" fillId="0" borderId="4" xfId="0" applyFont="1" applyBorder="1"/>
    <xf numFmtId="0" fontId="0" fillId="0" borderId="7" xfId="0" applyFont="1" applyBorder="1"/>
    <xf numFmtId="0" fontId="5" fillId="0" borderId="8" xfId="0" applyFont="1" applyFill="1" applyBorder="1" applyAlignment="1">
      <alignment vertical="center"/>
    </xf>
    <xf numFmtId="0" fontId="0" fillId="0" borderId="9" xfId="0" applyFont="1" applyBorder="1"/>
    <xf numFmtId="0" fontId="6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B77F1C-986A-455C-84D0-98802B3F1BC0}" name="Tabela2" displayName="Tabela2" ref="A1:C16" totalsRowShown="0" headerRowBorderDxfId="9" tableBorderDxfId="10" totalsRowBorderDxfId="8">
  <autoFilter ref="A1:C16" xr:uid="{43B77F1C-986A-455C-84D0-98802B3F1BC0}"/>
  <tableColumns count="3">
    <tableColumn id="1" xr3:uid="{2A20E4A5-AF55-44E6-A4E2-B2D793288803}" name="re_iq" dataDxfId="7"/>
    <tableColumn id="2" xr3:uid="{23EBEA0A-D98A-4536-AA12-E2AF914499ED}" name="senha" dataDxfId="6"/>
    <tableColumn id="3" xr3:uid="{19B128AC-4E26-4DAE-9B5C-780E4F95DAB9}" name="nome_iq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25BA19-808D-4B8F-BDC5-306E46DE35D9}" name="Tabela1" displayName="Tabela1" ref="A1:F72" totalsRowShown="0" headerRowDxfId="11" headerRowBorderDxfId="19" tableBorderDxfId="20" totalsRowBorderDxfId="18">
  <tableColumns count="6">
    <tableColumn id="1" xr3:uid="{AE302A53-063D-4D0E-B6D7-ADD29FD4D6B5}" name="re" dataDxfId="17"/>
    <tableColumn id="2" xr3:uid="{DE145AF2-8CC2-4F13-81B6-1888D59ADAE1}" name="login" dataDxfId="16"/>
    <tableColumn id="3" xr3:uid="{EA70B00C-C817-4FDA-B4F7-1C2B651EC4C8}" name="nome" dataDxfId="15"/>
    <tableColumn id="4" xr3:uid="{123CE67E-6737-40DE-B649-26C14CF5783C}" name="status_certificacao" dataDxfId="14">
      <calculatedColumnFormula>IFERROR(VLOOKUP(B2,CERTIFICADOS!A:B,2,0),"-")</calculatedColumnFormula>
    </tableColumn>
    <tableColumn id="5" xr3:uid="{92C55EB9-51B4-43CF-B1CD-7D160F1F6E71}" name="regiao" dataDxfId="13"/>
    <tableColumn id="6" xr3:uid="{B66CA9F0-2091-4C72-8861-DFD2AB54E130}" name="re_iq_responsavel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FFEB1B-975E-4540-AE12-EA4C7737DC92}" name="Tabela3" displayName="Tabela3" ref="A1:B74" totalsRowShown="0" headerRowBorderDxfId="3" tableBorderDxfId="4" totalsRowBorderDxfId="2">
  <autoFilter ref="A1:B74" xr:uid="{61FFEB1B-975E-4540-AE12-EA4C7737DC92}"/>
  <tableColumns count="2">
    <tableColumn id="1" xr3:uid="{CAFD2EC6-61C3-47E6-B121-9A82F2E8EAB3}" name="LOGIN" dataDxfId="1"/>
    <tableColumn id="2" xr3:uid="{EFB846A1-62B6-49E5-AE5A-A77B8F56A476}" name="Prévia Certific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09FF-5ED9-4D46-9E6E-552EE667A969}">
  <dimension ref="A1:C16"/>
  <sheetViews>
    <sheetView workbookViewId="0">
      <selection activeCell="A7" sqref="A7"/>
    </sheetView>
  </sheetViews>
  <sheetFormatPr defaultRowHeight="15" x14ac:dyDescent="0.25"/>
  <cols>
    <col min="1" max="1" width="8.7109375" customWidth="1"/>
    <col min="2" max="2" width="10" style="6" customWidth="1"/>
    <col min="3" max="3" width="36.42578125" style="2" bestFit="1" customWidth="1"/>
  </cols>
  <sheetData>
    <row r="1" spans="1:3" ht="18.75" x14ac:dyDescent="0.3">
      <c r="A1" s="19" t="s">
        <v>0</v>
      </c>
      <c r="B1" s="20" t="s">
        <v>1</v>
      </c>
      <c r="C1" s="21" t="s">
        <v>2</v>
      </c>
    </row>
    <row r="2" spans="1:3" x14ac:dyDescent="0.25">
      <c r="A2" s="17">
        <v>8433</v>
      </c>
      <c r="B2" s="5">
        <v>123</v>
      </c>
      <c r="C2" s="18" t="s">
        <v>8</v>
      </c>
    </row>
    <row r="3" spans="1:3" x14ac:dyDescent="0.25">
      <c r="A3" s="17">
        <v>5304</v>
      </c>
      <c r="B3" s="5">
        <v>123</v>
      </c>
      <c r="C3" s="18" t="s">
        <v>9</v>
      </c>
    </row>
    <row r="4" spans="1:3" x14ac:dyDescent="0.25">
      <c r="A4" s="17">
        <v>6391</v>
      </c>
      <c r="B4" s="5">
        <v>123</v>
      </c>
      <c r="C4" s="18" t="s">
        <v>10</v>
      </c>
    </row>
    <row r="5" spans="1:3" x14ac:dyDescent="0.25">
      <c r="A5" s="17">
        <v>4045</v>
      </c>
      <c r="B5" s="5">
        <v>123</v>
      </c>
      <c r="C5" s="18" t="s">
        <v>11</v>
      </c>
    </row>
    <row r="6" spans="1:3" x14ac:dyDescent="0.25">
      <c r="A6" s="17">
        <v>5449</v>
      </c>
      <c r="B6" s="5">
        <v>123</v>
      </c>
      <c r="C6" s="18" t="s">
        <v>12</v>
      </c>
    </row>
    <row r="7" spans="1:3" ht="15" customHeight="1" x14ac:dyDescent="0.25">
      <c r="A7" s="17">
        <v>5996</v>
      </c>
      <c r="B7" s="5">
        <v>123</v>
      </c>
      <c r="C7" s="18" t="s">
        <v>13</v>
      </c>
    </row>
    <row r="8" spans="1:3" x14ac:dyDescent="0.25">
      <c r="A8" s="17">
        <v>6540</v>
      </c>
      <c r="B8" s="5">
        <v>123</v>
      </c>
      <c r="C8" s="18" t="s">
        <v>14</v>
      </c>
    </row>
    <row r="9" spans="1:3" x14ac:dyDescent="0.25">
      <c r="A9" s="17">
        <v>2886</v>
      </c>
      <c r="B9" s="5">
        <v>123</v>
      </c>
      <c r="C9" s="18" t="s">
        <v>15</v>
      </c>
    </row>
    <row r="10" spans="1:3" x14ac:dyDescent="0.25">
      <c r="A10" s="17">
        <v>7563</v>
      </c>
      <c r="B10" s="5">
        <v>123</v>
      </c>
      <c r="C10" s="18" t="s">
        <v>16</v>
      </c>
    </row>
    <row r="11" spans="1:3" x14ac:dyDescent="0.25">
      <c r="A11" s="17">
        <v>8017</v>
      </c>
      <c r="B11" s="5">
        <v>123</v>
      </c>
      <c r="C11" s="18" t="s">
        <v>17</v>
      </c>
    </row>
    <row r="12" spans="1:3" x14ac:dyDescent="0.25">
      <c r="A12" s="17">
        <v>8502</v>
      </c>
      <c r="B12" s="5">
        <v>123</v>
      </c>
      <c r="C12" s="18" t="s">
        <v>18</v>
      </c>
    </row>
    <row r="13" spans="1:3" x14ac:dyDescent="0.25">
      <c r="A13" s="17">
        <v>8510</v>
      </c>
      <c r="B13" s="5">
        <v>123</v>
      </c>
      <c r="C13" s="18" t="s">
        <v>19</v>
      </c>
    </row>
    <row r="14" spans="1:3" x14ac:dyDescent="0.25">
      <c r="A14" s="17">
        <v>8591</v>
      </c>
      <c r="B14" s="5">
        <v>123</v>
      </c>
      <c r="C14" s="18" t="s">
        <v>20</v>
      </c>
    </row>
    <row r="15" spans="1:3" x14ac:dyDescent="0.25">
      <c r="A15" s="17">
        <v>8584</v>
      </c>
      <c r="B15" s="5">
        <v>123</v>
      </c>
      <c r="C15" s="18" t="s">
        <v>21</v>
      </c>
    </row>
    <row r="16" spans="1:3" x14ac:dyDescent="0.25">
      <c r="A16" s="22">
        <v>516</v>
      </c>
      <c r="B16" s="16">
        <v>123</v>
      </c>
      <c r="C16" s="23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CED33-6108-43B3-9D36-B9C2730498F5}">
  <dimension ref="A1:H72"/>
  <sheetViews>
    <sheetView tabSelected="1" workbookViewId="0">
      <selection activeCell="F16" sqref="F16"/>
    </sheetView>
  </sheetViews>
  <sheetFormatPr defaultRowHeight="15" x14ac:dyDescent="0.25"/>
  <cols>
    <col min="1" max="1" width="5" customWidth="1"/>
    <col min="2" max="2" width="7.7109375" customWidth="1"/>
    <col min="3" max="3" width="31" bestFit="1" customWidth="1"/>
    <col min="4" max="4" width="21.5703125" style="6" customWidth="1"/>
    <col min="5" max="5" width="9" style="6" customWidth="1"/>
    <col min="6" max="6" width="20.5703125" customWidth="1"/>
  </cols>
  <sheetData>
    <row r="1" spans="1:8" ht="15.75" x14ac:dyDescent="0.3">
      <c r="A1" s="9" t="s">
        <v>94</v>
      </c>
      <c r="B1" s="10" t="s">
        <v>3</v>
      </c>
      <c r="C1" s="10" t="s">
        <v>4</v>
      </c>
      <c r="D1" s="11" t="s">
        <v>5</v>
      </c>
      <c r="E1" s="11" t="s">
        <v>6</v>
      </c>
      <c r="F1" s="12" t="s">
        <v>7</v>
      </c>
      <c r="G1" s="1"/>
      <c r="H1" s="1"/>
    </row>
    <row r="2" spans="1:8" x14ac:dyDescent="0.25">
      <c r="A2" s="8">
        <v>8189</v>
      </c>
      <c r="B2" s="4" t="s">
        <v>23</v>
      </c>
      <c r="C2" s="7" t="s">
        <v>95</v>
      </c>
      <c r="D2" s="5" t="str">
        <f>IFERROR(VLOOKUP(B2,CERTIFICADOS!A:B,2,0),"-")</f>
        <v>Sim</v>
      </c>
      <c r="E2" s="5" t="s">
        <v>174</v>
      </c>
      <c r="F2" s="17">
        <v>5996</v>
      </c>
    </row>
    <row r="3" spans="1:8" x14ac:dyDescent="0.25">
      <c r="A3" s="8">
        <v>8427</v>
      </c>
      <c r="B3" s="4" t="s">
        <v>24</v>
      </c>
      <c r="C3" s="7" t="s">
        <v>96</v>
      </c>
      <c r="D3" s="5" t="str">
        <f>IFERROR(VLOOKUP(B3,CERTIFICADOS!A:B,2,0),"-")</f>
        <v>Sim</v>
      </c>
      <c r="E3" s="5" t="s">
        <v>174</v>
      </c>
      <c r="F3" s="17">
        <v>5996</v>
      </c>
    </row>
    <row r="4" spans="1:8" x14ac:dyDescent="0.25">
      <c r="A4" s="8">
        <v>8338</v>
      </c>
      <c r="B4" s="4" t="s">
        <v>25</v>
      </c>
      <c r="C4" s="7" t="s">
        <v>97</v>
      </c>
      <c r="D4" s="5" t="str">
        <f>IFERROR(VLOOKUP(B4,CERTIFICADOS!A:B,2,0),"-")</f>
        <v>Não</v>
      </c>
      <c r="E4" s="5" t="s">
        <v>174</v>
      </c>
      <c r="F4" s="17">
        <v>5996</v>
      </c>
    </row>
    <row r="5" spans="1:8" x14ac:dyDescent="0.25">
      <c r="A5" s="8">
        <v>8368</v>
      </c>
      <c r="B5" s="4" t="s">
        <v>26</v>
      </c>
      <c r="C5" s="7" t="s">
        <v>98</v>
      </c>
      <c r="D5" s="5" t="str">
        <f>IFERROR(VLOOKUP(B5,CERTIFICADOS!A:B,2,0),"-")</f>
        <v>Sim</v>
      </c>
      <c r="E5" s="5" t="s">
        <v>174</v>
      </c>
      <c r="F5" s="17">
        <v>6540</v>
      </c>
    </row>
    <row r="6" spans="1:8" x14ac:dyDescent="0.25">
      <c r="A6" s="8">
        <v>8496</v>
      </c>
      <c r="B6" s="4" t="s">
        <v>27</v>
      </c>
      <c r="C6" s="7" t="s">
        <v>99</v>
      </c>
      <c r="D6" s="5" t="str">
        <f>IFERROR(VLOOKUP(B6,CERTIFICADOS!A:B,2,0),"-")</f>
        <v>Sim</v>
      </c>
      <c r="E6" s="5" t="s">
        <v>174</v>
      </c>
      <c r="F6" s="17">
        <v>6540</v>
      </c>
    </row>
    <row r="7" spans="1:8" x14ac:dyDescent="0.25">
      <c r="A7" s="8">
        <v>7656</v>
      </c>
      <c r="B7" s="4" t="s">
        <v>28</v>
      </c>
      <c r="C7" s="7" t="s">
        <v>100</v>
      </c>
      <c r="D7" s="5" t="str">
        <f>IFERROR(VLOOKUP(B7,CERTIFICADOS!A:B,2,0),"-")</f>
        <v>Sim</v>
      </c>
      <c r="E7" s="5" t="s">
        <v>174</v>
      </c>
      <c r="F7" s="17">
        <v>4045</v>
      </c>
    </row>
    <row r="8" spans="1:8" x14ac:dyDescent="0.25">
      <c r="A8" s="8">
        <v>8337</v>
      </c>
      <c r="B8" s="4" t="s">
        <v>29</v>
      </c>
      <c r="C8" s="7" t="s">
        <v>101</v>
      </c>
      <c r="D8" s="5" t="str">
        <f>IFERROR(VLOOKUP(B8,CERTIFICADOS!A:B,2,0),"-")</f>
        <v>Sim</v>
      </c>
      <c r="E8" s="5" t="s">
        <v>174</v>
      </c>
      <c r="F8" s="17">
        <v>4045</v>
      </c>
    </row>
    <row r="9" spans="1:8" x14ac:dyDescent="0.25">
      <c r="A9" s="8">
        <v>8375</v>
      </c>
      <c r="B9" s="4" t="s">
        <v>30</v>
      </c>
      <c r="C9" s="7" t="s">
        <v>102</v>
      </c>
      <c r="D9" s="5" t="str">
        <f>IFERROR(VLOOKUP(B9,CERTIFICADOS!A:B,2,0),"-")</f>
        <v>Sim</v>
      </c>
      <c r="E9" s="5" t="s">
        <v>174</v>
      </c>
      <c r="F9" s="17">
        <v>4045</v>
      </c>
    </row>
    <row r="10" spans="1:8" x14ac:dyDescent="0.25">
      <c r="A10" s="8">
        <v>7704</v>
      </c>
      <c r="B10" s="4" t="s">
        <v>31</v>
      </c>
      <c r="C10" s="7" t="s">
        <v>103</v>
      </c>
      <c r="D10" s="5" t="str">
        <f>IFERROR(VLOOKUP(B10,CERTIFICADOS!A:B,2,0),"-")</f>
        <v>Sim</v>
      </c>
      <c r="E10" s="5" t="s">
        <v>174</v>
      </c>
      <c r="F10" s="17">
        <v>4045</v>
      </c>
    </row>
    <row r="11" spans="1:8" x14ac:dyDescent="0.25">
      <c r="A11" s="8">
        <v>8045</v>
      </c>
      <c r="B11" s="4" t="s">
        <v>32</v>
      </c>
      <c r="C11" s="7" t="s">
        <v>104</v>
      </c>
      <c r="D11" s="5" t="str">
        <f>IFERROR(VLOOKUP(B11,CERTIFICADOS!A:B,2,0),"-")</f>
        <v>Sim</v>
      </c>
      <c r="E11" s="5" t="s">
        <v>174</v>
      </c>
      <c r="F11" s="17">
        <v>5996</v>
      </c>
    </row>
    <row r="12" spans="1:8" x14ac:dyDescent="0.25">
      <c r="A12" s="8">
        <v>8666</v>
      </c>
      <c r="B12" s="4" t="s">
        <v>33</v>
      </c>
      <c r="C12" s="3" t="s">
        <v>105</v>
      </c>
      <c r="D12" s="5" t="str">
        <f>IFERROR(VLOOKUP(B12,CERTIFICADOS!A:B,2,0),"-")</f>
        <v>Sim</v>
      </c>
      <c r="E12" s="5" t="s">
        <v>174</v>
      </c>
      <c r="F12" s="17">
        <v>4045</v>
      </c>
    </row>
    <row r="13" spans="1:8" x14ac:dyDescent="0.25">
      <c r="A13" s="8">
        <v>8654</v>
      </c>
      <c r="B13" s="4" t="s">
        <v>34</v>
      </c>
      <c r="C13" s="3" t="s">
        <v>106</v>
      </c>
      <c r="D13" s="5" t="str">
        <f>IFERROR(VLOOKUP(B13,CERTIFICADOS!A:B,2,0),"-")</f>
        <v>Não</v>
      </c>
      <c r="E13" s="5" t="s">
        <v>174</v>
      </c>
      <c r="F13" s="17">
        <v>6540</v>
      </c>
    </row>
    <row r="14" spans="1:8" x14ac:dyDescent="0.25">
      <c r="A14" s="8">
        <v>8213</v>
      </c>
      <c r="B14" s="4" t="s">
        <v>35</v>
      </c>
      <c r="C14" s="7" t="s">
        <v>107</v>
      </c>
      <c r="D14" s="5" t="str">
        <f>IFERROR(VLOOKUP(B14,CERTIFICADOS!A:B,2,0),"-")</f>
        <v>Sim</v>
      </c>
      <c r="E14" s="5" t="s">
        <v>174</v>
      </c>
      <c r="F14" s="17">
        <v>5996</v>
      </c>
    </row>
    <row r="15" spans="1:8" x14ac:dyDescent="0.25">
      <c r="A15" s="8">
        <v>8585</v>
      </c>
      <c r="B15" s="4" t="s">
        <v>36</v>
      </c>
      <c r="C15" s="7" t="s">
        <v>108</v>
      </c>
      <c r="D15" s="5" t="str">
        <f>IFERROR(VLOOKUP(B15,CERTIFICADOS!A:B,2,0),"-")</f>
        <v>Não</v>
      </c>
      <c r="E15" s="5" t="s">
        <v>174</v>
      </c>
      <c r="F15" s="17">
        <v>6540</v>
      </c>
    </row>
    <row r="16" spans="1:8" x14ac:dyDescent="0.25">
      <c r="A16" s="8">
        <v>8665</v>
      </c>
      <c r="B16" s="4" t="s">
        <v>37</v>
      </c>
      <c r="C16" s="3" t="s">
        <v>109</v>
      </c>
      <c r="D16" s="5" t="str">
        <f>IFERROR(VLOOKUP(B16,CERTIFICADOS!A:B,2,0),"-")</f>
        <v>Não</v>
      </c>
      <c r="E16" s="5" t="s">
        <v>174</v>
      </c>
      <c r="F16" s="17">
        <v>4045</v>
      </c>
    </row>
    <row r="17" spans="1:6" x14ac:dyDescent="0.25">
      <c r="A17" s="8">
        <v>8589</v>
      </c>
      <c r="B17" s="4" t="s">
        <v>38</v>
      </c>
      <c r="C17" s="7" t="s">
        <v>110</v>
      </c>
      <c r="D17" s="5" t="str">
        <f>IFERROR(VLOOKUP(B17,CERTIFICADOS!A:B,2,0),"-")</f>
        <v>Não</v>
      </c>
      <c r="E17" s="5" t="s">
        <v>174</v>
      </c>
      <c r="F17" s="17">
        <v>4045</v>
      </c>
    </row>
    <row r="18" spans="1:6" x14ac:dyDescent="0.25">
      <c r="A18" s="8">
        <v>7666</v>
      </c>
      <c r="B18" s="4" t="s">
        <v>39</v>
      </c>
      <c r="C18" s="7" t="s">
        <v>111</v>
      </c>
      <c r="D18" s="5" t="str">
        <f>IFERROR(VLOOKUP(B18,CERTIFICADOS!A:B,2,0),"-")</f>
        <v>Sim</v>
      </c>
      <c r="E18" s="5" t="s">
        <v>174</v>
      </c>
      <c r="F18" s="17">
        <v>6540</v>
      </c>
    </row>
    <row r="19" spans="1:6" x14ac:dyDescent="0.25">
      <c r="A19" s="8">
        <v>8594</v>
      </c>
      <c r="B19" s="4" t="s">
        <v>40</v>
      </c>
      <c r="C19" s="7" t="s">
        <v>112</v>
      </c>
      <c r="D19" s="5" t="str">
        <f>IFERROR(VLOOKUP(B19,CERTIFICADOS!A:B,2,0),"-")</f>
        <v>Não</v>
      </c>
      <c r="E19" s="5" t="s">
        <v>174</v>
      </c>
      <c r="F19" s="17">
        <v>5996</v>
      </c>
    </row>
    <row r="20" spans="1:6" x14ac:dyDescent="0.25">
      <c r="A20" s="8">
        <v>8300</v>
      </c>
      <c r="B20" s="4" t="s">
        <v>41</v>
      </c>
      <c r="C20" s="7" t="s">
        <v>113</v>
      </c>
      <c r="D20" s="5" t="str">
        <f>IFERROR(VLOOKUP(B20,CERTIFICADOS!A:B,2,0),"-")</f>
        <v>Não</v>
      </c>
      <c r="E20" s="5" t="s">
        <v>174</v>
      </c>
      <c r="F20" s="17">
        <v>4045</v>
      </c>
    </row>
    <row r="21" spans="1:6" x14ac:dyDescent="0.25">
      <c r="A21" s="8">
        <v>7669</v>
      </c>
      <c r="B21" s="4" t="s">
        <v>42</v>
      </c>
      <c r="C21" s="7" t="s">
        <v>114</v>
      </c>
      <c r="D21" s="5" t="str">
        <f>IFERROR(VLOOKUP(B21,CERTIFICADOS!A:B,2,0),"-")</f>
        <v>Não</v>
      </c>
      <c r="E21" s="5" t="s">
        <v>174</v>
      </c>
      <c r="F21" s="17">
        <v>4045</v>
      </c>
    </row>
    <row r="22" spans="1:6" x14ac:dyDescent="0.25">
      <c r="A22" s="8">
        <v>7642</v>
      </c>
      <c r="B22" s="4" t="s">
        <v>43</v>
      </c>
      <c r="C22" s="7" t="s">
        <v>115</v>
      </c>
      <c r="D22" s="5" t="str">
        <f>IFERROR(VLOOKUP(B22,CERTIFICADOS!A:B,2,0),"-")</f>
        <v>Não</v>
      </c>
      <c r="E22" s="5" t="s">
        <v>174</v>
      </c>
      <c r="F22" s="17">
        <v>6540</v>
      </c>
    </row>
    <row r="23" spans="1:6" x14ac:dyDescent="0.25">
      <c r="A23" s="8">
        <v>2331</v>
      </c>
      <c r="B23" s="4" t="s">
        <v>44</v>
      </c>
      <c r="C23" s="7" t="s">
        <v>116</v>
      </c>
      <c r="D23" s="5" t="str">
        <f>IFERROR(VLOOKUP(B23,CERTIFICADOS!A:B,2,0),"-")</f>
        <v>Sim</v>
      </c>
      <c r="E23" s="5" t="s">
        <v>174</v>
      </c>
      <c r="F23" s="17">
        <v>6540</v>
      </c>
    </row>
    <row r="24" spans="1:6" x14ac:dyDescent="0.25">
      <c r="A24" s="8">
        <v>5586</v>
      </c>
      <c r="B24" s="4" t="s">
        <v>45</v>
      </c>
      <c r="C24" s="7" t="s">
        <v>117</v>
      </c>
      <c r="D24" s="5" t="str">
        <f>IFERROR(VLOOKUP(B24,CERTIFICADOS!A:B,2,0),"-")</f>
        <v>Sim</v>
      </c>
      <c r="E24" s="5" t="s">
        <v>174</v>
      </c>
      <c r="F24" s="17">
        <v>5996</v>
      </c>
    </row>
    <row r="25" spans="1:6" x14ac:dyDescent="0.25">
      <c r="A25" s="8">
        <v>8058</v>
      </c>
      <c r="B25" s="4" t="s">
        <v>46</v>
      </c>
      <c r="C25" s="3" t="s">
        <v>118</v>
      </c>
      <c r="D25" s="5" t="str">
        <f>IFERROR(VLOOKUP(B25,CERTIFICADOS!A:B,2,0),"-")</f>
        <v>Não</v>
      </c>
      <c r="E25" s="5" t="s">
        <v>174</v>
      </c>
      <c r="F25" s="17">
        <v>5996</v>
      </c>
    </row>
    <row r="26" spans="1:6" x14ac:dyDescent="0.25">
      <c r="A26" s="8">
        <v>7533</v>
      </c>
      <c r="B26" s="4" t="s">
        <v>47</v>
      </c>
      <c r="C26" s="7" t="s">
        <v>119</v>
      </c>
      <c r="D26" s="5" t="str">
        <f>IFERROR(VLOOKUP(B26,CERTIFICADOS!A:B,2,0),"-")</f>
        <v>Sim</v>
      </c>
      <c r="E26" s="5" t="s">
        <v>174</v>
      </c>
      <c r="F26" s="17">
        <v>6540</v>
      </c>
    </row>
    <row r="27" spans="1:6" x14ac:dyDescent="0.25">
      <c r="A27" s="8">
        <v>8152</v>
      </c>
      <c r="B27" s="4" t="s">
        <v>48</v>
      </c>
      <c r="C27" s="7" t="s">
        <v>120</v>
      </c>
      <c r="D27" s="5" t="str">
        <f>IFERROR(VLOOKUP(B27,CERTIFICADOS!A:B,2,0),"-")</f>
        <v>Não</v>
      </c>
      <c r="E27" s="5" t="s">
        <v>174</v>
      </c>
      <c r="F27" s="17">
        <v>4045</v>
      </c>
    </row>
    <row r="28" spans="1:6" x14ac:dyDescent="0.25">
      <c r="A28" s="8">
        <v>8014</v>
      </c>
      <c r="B28" s="4" t="s">
        <v>49</v>
      </c>
      <c r="C28" s="7" t="s">
        <v>121</v>
      </c>
      <c r="D28" s="5" t="str">
        <f>IFERROR(VLOOKUP(B28,CERTIFICADOS!A:B,2,0),"-")</f>
        <v>Sim</v>
      </c>
      <c r="E28" s="5" t="s">
        <v>174</v>
      </c>
      <c r="F28" s="17">
        <v>4045</v>
      </c>
    </row>
    <row r="29" spans="1:6" x14ac:dyDescent="0.25">
      <c r="A29" s="8">
        <v>8504</v>
      </c>
      <c r="B29" s="4" t="s">
        <v>50</v>
      </c>
      <c r="C29" s="7" t="s">
        <v>122</v>
      </c>
      <c r="D29" s="5" t="str">
        <f>IFERROR(VLOOKUP(B29,CERTIFICADOS!A:B,2,0),"-")</f>
        <v>Não</v>
      </c>
      <c r="E29" s="5" t="s">
        <v>174</v>
      </c>
      <c r="F29" s="17">
        <v>6540</v>
      </c>
    </row>
    <row r="30" spans="1:6" x14ac:dyDescent="0.25">
      <c r="A30" s="8">
        <v>8645</v>
      </c>
      <c r="B30" s="4" t="s">
        <v>51</v>
      </c>
      <c r="C30" s="3" t="s">
        <v>123</v>
      </c>
      <c r="D30" s="5" t="str">
        <f>IFERROR(VLOOKUP(B30,CERTIFICADOS!A:B,2,0),"-")</f>
        <v>Não</v>
      </c>
      <c r="E30" s="5" t="s">
        <v>174</v>
      </c>
      <c r="F30" s="17">
        <v>5996</v>
      </c>
    </row>
    <row r="31" spans="1:6" x14ac:dyDescent="0.25">
      <c r="A31" s="8">
        <v>7879</v>
      </c>
      <c r="B31" s="4" t="s">
        <v>52</v>
      </c>
      <c r="C31" s="7" t="s">
        <v>124</v>
      </c>
      <c r="D31" s="5" t="str">
        <f>IFERROR(VLOOKUP(B31,CERTIFICADOS!A:B,2,0),"-")</f>
        <v>Sim</v>
      </c>
      <c r="E31" s="5" t="s">
        <v>174</v>
      </c>
      <c r="F31" s="17">
        <v>6540</v>
      </c>
    </row>
    <row r="32" spans="1:6" x14ac:dyDescent="0.25">
      <c r="A32" s="8">
        <v>8592</v>
      </c>
      <c r="B32" s="4" t="s">
        <v>53</v>
      </c>
      <c r="C32" s="7" t="s">
        <v>125</v>
      </c>
      <c r="D32" s="5" t="str">
        <f>IFERROR(VLOOKUP(B32,CERTIFICADOS!A:B,2,0),"-")</f>
        <v>Sim</v>
      </c>
      <c r="E32" s="5" t="s">
        <v>174</v>
      </c>
      <c r="F32" s="17">
        <v>5996</v>
      </c>
    </row>
    <row r="33" spans="1:6" x14ac:dyDescent="0.25">
      <c r="A33" s="8">
        <v>8656</v>
      </c>
      <c r="B33" s="4" t="s">
        <v>54</v>
      </c>
      <c r="C33" s="3" t="s">
        <v>126</v>
      </c>
      <c r="D33" s="5" t="str">
        <f>IFERROR(VLOOKUP(B33,CERTIFICADOS!A:B,2,0),"-")</f>
        <v>Não</v>
      </c>
      <c r="E33" s="5" t="s">
        <v>174</v>
      </c>
      <c r="F33" s="17">
        <v>4045</v>
      </c>
    </row>
    <row r="34" spans="1:6" x14ac:dyDescent="0.25">
      <c r="A34" s="8">
        <v>7421</v>
      </c>
      <c r="B34" s="4" t="s">
        <v>55</v>
      </c>
      <c r="C34" s="7" t="s">
        <v>127</v>
      </c>
      <c r="D34" s="5" t="str">
        <f>IFERROR(VLOOKUP(B34,CERTIFICADOS!A:B,2,0),"-")</f>
        <v>Sim</v>
      </c>
      <c r="E34" s="5" t="s">
        <v>174</v>
      </c>
      <c r="F34" s="17">
        <v>6540</v>
      </c>
    </row>
    <row r="35" spans="1:6" x14ac:dyDescent="0.25">
      <c r="A35" s="8">
        <v>4785</v>
      </c>
      <c r="B35" s="4" t="s">
        <v>56</v>
      </c>
      <c r="C35" s="7" t="s">
        <v>128</v>
      </c>
      <c r="D35" s="5" t="str">
        <f>IFERROR(VLOOKUP(B35,CERTIFICADOS!A:B,2,0),"-")</f>
        <v>Sim</v>
      </c>
      <c r="E35" s="5" t="s">
        <v>174</v>
      </c>
      <c r="F35" s="17">
        <v>4045</v>
      </c>
    </row>
    <row r="36" spans="1:6" x14ac:dyDescent="0.25">
      <c r="A36" s="8">
        <v>8628</v>
      </c>
      <c r="B36" s="4" t="s">
        <v>57</v>
      </c>
      <c r="C36" s="3" t="s">
        <v>129</v>
      </c>
      <c r="D36" s="5" t="str">
        <f>IFERROR(VLOOKUP(B36,CERTIFICADOS!A:B,2,0),"-")</f>
        <v>Sim</v>
      </c>
      <c r="E36" s="5" t="s">
        <v>174</v>
      </c>
      <c r="F36" s="17">
        <v>5996</v>
      </c>
    </row>
    <row r="37" spans="1:6" x14ac:dyDescent="0.25">
      <c r="A37" s="8">
        <v>8597</v>
      </c>
      <c r="B37" s="4" t="s">
        <v>58</v>
      </c>
      <c r="C37" s="7" t="s">
        <v>130</v>
      </c>
      <c r="D37" s="5" t="str">
        <f>IFERROR(VLOOKUP(B37,CERTIFICADOS!A:B,2,0),"-")</f>
        <v>Não</v>
      </c>
      <c r="E37" s="5" t="s">
        <v>174</v>
      </c>
      <c r="F37" s="17">
        <v>5996</v>
      </c>
    </row>
    <row r="38" spans="1:6" x14ac:dyDescent="0.25">
      <c r="A38" s="8">
        <v>8282</v>
      </c>
      <c r="B38" s="4" t="s">
        <v>59</v>
      </c>
      <c r="C38" s="7" t="s">
        <v>131</v>
      </c>
      <c r="D38" s="5" t="str">
        <f>IFERROR(VLOOKUP(B38,CERTIFICADOS!A:B,2,0),"-")</f>
        <v>Sim</v>
      </c>
      <c r="E38" s="5" t="s">
        <v>174</v>
      </c>
      <c r="F38" s="17">
        <v>5996</v>
      </c>
    </row>
    <row r="39" spans="1:6" x14ac:dyDescent="0.25">
      <c r="A39" s="8">
        <v>8497</v>
      </c>
      <c r="B39" s="4" t="s">
        <v>60</v>
      </c>
      <c r="C39" s="7" t="s">
        <v>132</v>
      </c>
      <c r="D39" s="5" t="str">
        <f>IFERROR(VLOOKUP(B39,CERTIFICADOS!A:B,2,0),"-")</f>
        <v>Sim</v>
      </c>
      <c r="E39" s="5" t="s">
        <v>174</v>
      </c>
      <c r="F39" s="17">
        <v>5996</v>
      </c>
    </row>
    <row r="40" spans="1:6" x14ac:dyDescent="0.25">
      <c r="A40" s="8">
        <v>6039</v>
      </c>
      <c r="B40" s="4" t="s">
        <v>61</v>
      </c>
      <c r="C40" s="7" t="s">
        <v>133</v>
      </c>
      <c r="D40" s="5" t="str">
        <f>IFERROR(VLOOKUP(B40,CERTIFICADOS!A:B,2,0),"-")</f>
        <v>Não</v>
      </c>
      <c r="E40" s="5" t="s">
        <v>174</v>
      </c>
      <c r="F40" s="17">
        <v>4045</v>
      </c>
    </row>
    <row r="41" spans="1:6" x14ac:dyDescent="0.25">
      <c r="A41" s="8">
        <v>8528</v>
      </c>
      <c r="B41" s="4" t="s">
        <v>62</v>
      </c>
      <c r="C41" s="7" t="s">
        <v>134</v>
      </c>
      <c r="D41" s="5" t="str">
        <f>IFERROR(VLOOKUP(B41,CERTIFICADOS!A:B,2,0),"-")</f>
        <v>Não</v>
      </c>
      <c r="E41" s="5" t="s">
        <v>174</v>
      </c>
      <c r="F41" s="17">
        <v>5996</v>
      </c>
    </row>
    <row r="42" spans="1:6" x14ac:dyDescent="0.25">
      <c r="A42" s="8">
        <v>8435</v>
      </c>
      <c r="B42" s="4" t="s">
        <v>63</v>
      </c>
      <c r="C42" s="7" t="s">
        <v>135</v>
      </c>
      <c r="D42" s="5" t="str">
        <f>IFERROR(VLOOKUP(B42,CERTIFICADOS!A:B,2,0),"-")</f>
        <v>Sim</v>
      </c>
      <c r="E42" s="5" t="s">
        <v>174</v>
      </c>
      <c r="F42" s="17">
        <v>4045</v>
      </c>
    </row>
    <row r="43" spans="1:6" x14ac:dyDescent="0.25">
      <c r="A43" s="8">
        <v>8225</v>
      </c>
      <c r="B43" s="4" t="s">
        <v>64</v>
      </c>
      <c r="C43" s="7" t="s">
        <v>136</v>
      </c>
      <c r="D43" s="5" t="str">
        <f>IFERROR(VLOOKUP(B43,CERTIFICADOS!A:B,2,0),"-")</f>
        <v>Sim</v>
      </c>
      <c r="E43" s="5" t="s">
        <v>174</v>
      </c>
      <c r="F43" s="17">
        <v>6540</v>
      </c>
    </row>
    <row r="44" spans="1:6" x14ac:dyDescent="0.25">
      <c r="A44" s="8">
        <v>8443</v>
      </c>
      <c r="B44" s="4" t="s">
        <v>65</v>
      </c>
      <c r="C44" s="7" t="s">
        <v>137</v>
      </c>
      <c r="D44" s="5" t="str">
        <f>IFERROR(VLOOKUP(B44,CERTIFICADOS!A:B,2,0),"-")</f>
        <v>Sim</v>
      </c>
      <c r="E44" s="5" t="s">
        <v>174</v>
      </c>
      <c r="F44" s="17">
        <v>6540</v>
      </c>
    </row>
    <row r="45" spans="1:6" x14ac:dyDescent="0.25">
      <c r="A45" s="8">
        <v>7526</v>
      </c>
      <c r="B45" s="4" t="s">
        <v>66</v>
      </c>
      <c r="C45" s="7" t="s">
        <v>138</v>
      </c>
      <c r="D45" s="5" t="str">
        <f>IFERROR(VLOOKUP(B45,CERTIFICADOS!A:B,2,0),"-")</f>
        <v>Não</v>
      </c>
      <c r="E45" s="5" t="s">
        <v>174</v>
      </c>
      <c r="F45" s="17">
        <v>6540</v>
      </c>
    </row>
    <row r="46" spans="1:6" x14ac:dyDescent="0.25">
      <c r="A46" s="8">
        <v>8664</v>
      </c>
      <c r="B46" s="4" t="s">
        <v>67</v>
      </c>
      <c r="C46" s="3" t="s">
        <v>139</v>
      </c>
      <c r="D46" s="5" t="str">
        <f>IFERROR(VLOOKUP(B46,CERTIFICADOS!A:B,2,0),"-")</f>
        <v>Sim</v>
      </c>
      <c r="E46" s="5" t="s">
        <v>174</v>
      </c>
      <c r="F46" s="17">
        <v>6540</v>
      </c>
    </row>
    <row r="47" spans="1:6" x14ac:dyDescent="0.25">
      <c r="A47" s="8">
        <v>6259</v>
      </c>
      <c r="B47" s="4" t="s">
        <v>68</v>
      </c>
      <c r="C47" s="7" t="s">
        <v>140</v>
      </c>
      <c r="D47" s="5" t="str">
        <f>IFERROR(VLOOKUP(B47,CERTIFICADOS!A:B,2,0),"-")</f>
        <v>Sim</v>
      </c>
      <c r="E47" s="5" t="s">
        <v>174</v>
      </c>
      <c r="F47" s="17">
        <v>6540</v>
      </c>
    </row>
    <row r="48" spans="1:6" x14ac:dyDescent="0.25">
      <c r="A48" s="8">
        <v>7108</v>
      </c>
      <c r="B48" s="4" t="s">
        <v>69</v>
      </c>
      <c r="C48" s="7" t="s">
        <v>141</v>
      </c>
      <c r="D48" s="5" t="str">
        <f>IFERROR(VLOOKUP(B48,CERTIFICADOS!A:B,2,0),"-")</f>
        <v>-</v>
      </c>
      <c r="E48" s="5" t="s">
        <v>174</v>
      </c>
      <c r="F48" s="17">
        <v>5996</v>
      </c>
    </row>
    <row r="49" spans="1:6" x14ac:dyDescent="0.25">
      <c r="A49" s="8">
        <v>7934</v>
      </c>
      <c r="B49" s="4" t="s">
        <v>70</v>
      </c>
      <c r="C49" s="7" t="s">
        <v>142</v>
      </c>
      <c r="D49" s="5" t="str">
        <f>IFERROR(VLOOKUP(B49,CERTIFICADOS!A:B,2,0),"-")</f>
        <v>Sim</v>
      </c>
      <c r="E49" s="5" t="s">
        <v>174</v>
      </c>
      <c r="F49" s="17">
        <v>5996</v>
      </c>
    </row>
    <row r="50" spans="1:6" x14ac:dyDescent="0.25">
      <c r="A50" s="8">
        <v>8283</v>
      </c>
      <c r="B50" s="4" t="s">
        <v>71</v>
      </c>
      <c r="C50" s="7" t="s">
        <v>143</v>
      </c>
      <c r="D50" s="5" t="str">
        <f>IFERROR(VLOOKUP(B50,CERTIFICADOS!A:B,2,0),"-")</f>
        <v>Sim</v>
      </c>
      <c r="E50" s="5" t="s">
        <v>174</v>
      </c>
      <c r="F50" s="17">
        <v>4045</v>
      </c>
    </row>
    <row r="51" spans="1:6" x14ac:dyDescent="0.25">
      <c r="A51" s="8">
        <v>8370</v>
      </c>
      <c r="B51" s="4" t="s">
        <v>72</v>
      </c>
      <c r="C51" s="7" t="s">
        <v>144</v>
      </c>
      <c r="D51" s="5" t="str">
        <f>IFERROR(VLOOKUP(B51,CERTIFICADOS!A:B,2,0),"-")</f>
        <v>Sim</v>
      </c>
      <c r="E51" s="5" t="s">
        <v>174</v>
      </c>
      <c r="F51" s="17">
        <v>4045</v>
      </c>
    </row>
    <row r="52" spans="1:6" x14ac:dyDescent="0.25">
      <c r="A52" s="8">
        <v>8561</v>
      </c>
      <c r="B52" s="4" t="s">
        <v>73</v>
      </c>
      <c r="C52" s="7" t="s">
        <v>145</v>
      </c>
      <c r="D52" s="5" t="str">
        <f>IFERROR(VLOOKUP(B52,CERTIFICADOS!A:B,2,0),"-")</f>
        <v>Não</v>
      </c>
      <c r="E52" s="5" t="s">
        <v>174</v>
      </c>
      <c r="F52" s="17">
        <v>4045</v>
      </c>
    </row>
    <row r="53" spans="1:6" x14ac:dyDescent="0.25">
      <c r="A53" s="8">
        <v>7694</v>
      </c>
      <c r="B53" s="4" t="s">
        <v>74</v>
      </c>
      <c r="C53" s="7" t="s">
        <v>146</v>
      </c>
      <c r="D53" s="5" t="str">
        <f>IFERROR(VLOOKUP(B53,CERTIFICADOS!A:B,2,0),"-")</f>
        <v>Não</v>
      </c>
      <c r="E53" s="5" t="s">
        <v>174</v>
      </c>
      <c r="F53" s="17">
        <v>5996</v>
      </c>
    </row>
    <row r="54" spans="1:6" x14ac:dyDescent="0.25">
      <c r="A54" s="8">
        <v>8662</v>
      </c>
      <c r="B54" s="4" t="s">
        <v>75</v>
      </c>
      <c r="C54" s="3" t="s">
        <v>147</v>
      </c>
      <c r="D54" s="5" t="str">
        <f>IFERROR(VLOOKUP(B54,CERTIFICADOS!A:B,2,0),"-")</f>
        <v>Sim</v>
      </c>
      <c r="E54" s="5" t="s">
        <v>174</v>
      </c>
      <c r="F54" s="17">
        <v>5996</v>
      </c>
    </row>
    <row r="55" spans="1:6" x14ac:dyDescent="0.25">
      <c r="A55" s="8">
        <v>8190</v>
      </c>
      <c r="B55" s="4" t="s">
        <v>76</v>
      </c>
      <c r="C55" s="7" t="s">
        <v>148</v>
      </c>
      <c r="D55" s="5" t="str">
        <f>IFERROR(VLOOKUP(B55,CERTIFICADOS!A:B,2,0),"-")</f>
        <v>Sim</v>
      </c>
      <c r="E55" s="5" t="s">
        <v>174</v>
      </c>
      <c r="F55" s="17">
        <v>4045</v>
      </c>
    </row>
    <row r="56" spans="1:6" x14ac:dyDescent="0.25">
      <c r="A56" s="8">
        <v>8301</v>
      </c>
      <c r="B56" s="4" t="s">
        <v>77</v>
      </c>
      <c r="C56" s="7" t="s">
        <v>149</v>
      </c>
      <c r="D56" s="5" t="str">
        <f>IFERROR(VLOOKUP(B56,CERTIFICADOS!A:B,2,0),"-")</f>
        <v>Não</v>
      </c>
      <c r="E56" s="5" t="s">
        <v>174</v>
      </c>
      <c r="F56" s="17">
        <v>6540</v>
      </c>
    </row>
    <row r="57" spans="1:6" x14ac:dyDescent="0.25">
      <c r="A57" s="8">
        <v>4227</v>
      </c>
      <c r="B57" s="4" t="s">
        <v>78</v>
      </c>
      <c r="C57" s="7" t="s">
        <v>150</v>
      </c>
      <c r="D57" s="5" t="str">
        <f>IFERROR(VLOOKUP(B57,CERTIFICADOS!A:B,2,0),"-")</f>
        <v>Sim</v>
      </c>
      <c r="E57" s="5" t="s">
        <v>174</v>
      </c>
      <c r="F57" s="17">
        <v>6540</v>
      </c>
    </row>
    <row r="58" spans="1:6" x14ac:dyDescent="0.25">
      <c r="A58" s="8">
        <v>8428</v>
      </c>
      <c r="B58" s="4" t="s">
        <v>79</v>
      </c>
      <c r="C58" s="7" t="s">
        <v>151</v>
      </c>
      <c r="D58" s="5" t="str">
        <f>IFERROR(VLOOKUP(B58,CERTIFICADOS!A:B,2,0),"-")</f>
        <v>Sim</v>
      </c>
      <c r="E58" s="5" t="s">
        <v>174</v>
      </c>
      <c r="F58" s="17">
        <v>5996</v>
      </c>
    </row>
    <row r="59" spans="1:6" x14ac:dyDescent="0.25">
      <c r="A59" s="8">
        <v>8655</v>
      </c>
      <c r="B59" s="4" t="s">
        <v>80</v>
      </c>
      <c r="C59" s="3" t="s">
        <v>152</v>
      </c>
      <c r="D59" s="5" t="str">
        <f>IFERROR(VLOOKUP(B59,CERTIFICADOS!A:B,2,0),"-")</f>
        <v>Não</v>
      </c>
      <c r="E59" s="5" t="s">
        <v>174</v>
      </c>
      <c r="F59" s="17">
        <v>5996</v>
      </c>
    </row>
    <row r="60" spans="1:6" x14ac:dyDescent="0.25">
      <c r="A60" s="8">
        <v>8060</v>
      </c>
      <c r="B60" s="4" t="s">
        <v>81</v>
      </c>
      <c r="C60" s="7" t="s">
        <v>153</v>
      </c>
      <c r="D60" s="5" t="str">
        <f>IFERROR(VLOOKUP(B60,CERTIFICADOS!A:B,2,0),"-")</f>
        <v>-</v>
      </c>
      <c r="E60" s="5" t="s">
        <v>174</v>
      </c>
      <c r="F60" s="17">
        <v>4045</v>
      </c>
    </row>
    <row r="61" spans="1:6" x14ac:dyDescent="0.25">
      <c r="A61" s="8">
        <v>7429</v>
      </c>
      <c r="B61" s="4" t="s">
        <v>82</v>
      </c>
      <c r="C61" s="7" t="s">
        <v>154</v>
      </c>
      <c r="D61" s="5" t="str">
        <f>IFERROR(VLOOKUP(B61,CERTIFICADOS!A:B,2,0),"-")</f>
        <v>Sim</v>
      </c>
      <c r="E61" s="5" t="s">
        <v>174</v>
      </c>
      <c r="F61" s="17">
        <v>4045</v>
      </c>
    </row>
    <row r="62" spans="1:6" x14ac:dyDescent="0.25">
      <c r="A62" s="8">
        <v>6927</v>
      </c>
      <c r="B62" s="4" t="s">
        <v>83</v>
      </c>
      <c r="C62" s="7" t="s">
        <v>155</v>
      </c>
      <c r="D62" s="5" t="str">
        <f>IFERROR(VLOOKUP(B62,CERTIFICADOS!A:B,2,0),"-")</f>
        <v>Sim</v>
      </c>
      <c r="E62" s="5" t="s">
        <v>174</v>
      </c>
      <c r="F62" s="17">
        <v>4045</v>
      </c>
    </row>
    <row r="63" spans="1:6" x14ac:dyDescent="0.25">
      <c r="A63" s="8">
        <v>8394</v>
      </c>
      <c r="B63" s="4" t="s">
        <v>84</v>
      </c>
      <c r="C63" s="7" t="s">
        <v>156</v>
      </c>
      <c r="D63" s="5" t="str">
        <f>IFERROR(VLOOKUP(B63,CERTIFICADOS!A:B,2,0),"-")</f>
        <v>Sim</v>
      </c>
      <c r="E63" s="5" t="s">
        <v>174</v>
      </c>
      <c r="F63" s="17">
        <v>6540</v>
      </c>
    </row>
    <row r="64" spans="1:6" x14ac:dyDescent="0.25">
      <c r="A64" s="8">
        <v>8491</v>
      </c>
      <c r="B64" s="4" t="s">
        <v>85</v>
      </c>
      <c r="C64" s="7" t="s">
        <v>157</v>
      </c>
      <c r="D64" s="5" t="str">
        <f>IFERROR(VLOOKUP(B64,CERTIFICADOS!A:B,2,0),"-")</f>
        <v>Sim</v>
      </c>
      <c r="E64" s="5" t="s">
        <v>174</v>
      </c>
      <c r="F64" s="17">
        <v>6540</v>
      </c>
    </row>
    <row r="65" spans="1:6" x14ac:dyDescent="0.25">
      <c r="A65" s="8">
        <v>8373</v>
      </c>
      <c r="B65" s="4" t="s">
        <v>86</v>
      </c>
      <c r="C65" s="7" t="s">
        <v>158</v>
      </c>
      <c r="D65" s="5" t="str">
        <f>IFERROR(VLOOKUP(B65,CERTIFICADOS!A:B,2,0),"-")</f>
        <v>Sim</v>
      </c>
      <c r="E65" s="5" t="s">
        <v>174</v>
      </c>
      <c r="F65" s="17">
        <v>6540</v>
      </c>
    </row>
    <row r="66" spans="1:6" x14ac:dyDescent="0.25">
      <c r="A66" s="8">
        <v>8503</v>
      </c>
      <c r="B66" s="4" t="s">
        <v>87</v>
      </c>
      <c r="C66" s="7" t="s">
        <v>159</v>
      </c>
      <c r="D66" s="5" t="str">
        <f>IFERROR(VLOOKUP(B66,CERTIFICADOS!A:B,2,0),"-")</f>
        <v>Não</v>
      </c>
      <c r="E66" s="5" t="s">
        <v>174</v>
      </c>
      <c r="F66" s="17">
        <v>5996</v>
      </c>
    </row>
    <row r="67" spans="1:6" x14ac:dyDescent="0.25">
      <c r="A67" s="8">
        <v>6588</v>
      </c>
      <c r="B67" s="4" t="s">
        <v>88</v>
      </c>
      <c r="C67" s="7" t="s">
        <v>160</v>
      </c>
      <c r="D67" s="5" t="str">
        <f>IFERROR(VLOOKUP(B67,CERTIFICADOS!A:B,2,0),"-")</f>
        <v>Não</v>
      </c>
      <c r="E67" s="5" t="s">
        <v>174</v>
      </c>
      <c r="F67" s="17">
        <v>5996</v>
      </c>
    </row>
    <row r="68" spans="1:6" x14ac:dyDescent="0.25">
      <c r="A68" s="8">
        <v>8203</v>
      </c>
      <c r="B68" s="4" t="s">
        <v>89</v>
      </c>
      <c r="C68" s="7" t="s">
        <v>161</v>
      </c>
      <c r="D68" s="5" t="str">
        <f>IFERROR(VLOOKUP(B68,CERTIFICADOS!A:B,2,0),"-")</f>
        <v>Sim</v>
      </c>
      <c r="E68" s="5" t="s">
        <v>174</v>
      </c>
      <c r="F68" s="17">
        <v>4045</v>
      </c>
    </row>
    <row r="69" spans="1:6" x14ac:dyDescent="0.25">
      <c r="A69" s="8">
        <v>8501</v>
      </c>
      <c r="B69" s="4" t="s">
        <v>90</v>
      </c>
      <c r="C69" s="7" t="s">
        <v>162</v>
      </c>
      <c r="D69" s="5" t="str">
        <f>IFERROR(VLOOKUP(B69,CERTIFICADOS!A:B,2,0),"-")</f>
        <v>Não</v>
      </c>
      <c r="E69" s="5" t="s">
        <v>174</v>
      </c>
      <c r="F69" s="17">
        <v>5996</v>
      </c>
    </row>
    <row r="70" spans="1:6" x14ac:dyDescent="0.25">
      <c r="A70" s="8">
        <v>8562</v>
      </c>
      <c r="B70" s="4" t="s">
        <v>91</v>
      </c>
      <c r="C70" s="7" t="s">
        <v>163</v>
      </c>
      <c r="D70" s="5" t="str">
        <f>IFERROR(VLOOKUP(B70,CERTIFICADOS!A:B,2,0),"-")</f>
        <v>Não</v>
      </c>
      <c r="E70" s="5" t="s">
        <v>174</v>
      </c>
      <c r="F70" s="17">
        <v>6540</v>
      </c>
    </row>
    <row r="71" spans="1:6" x14ac:dyDescent="0.25">
      <c r="A71" s="8">
        <v>8339</v>
      </c>
      <c r="B71" s="4" t="s">
        <v>92</v>
      </c>
      <c r="C71" s="7" t="s">
        <v>164</v>
      </c>
      <c r="D71" s="5" t="str">
        <f>IFERROR(VLOOKUP(B71,CERTIFICADOS!A:B,2,0),"-")</f>
        <v>Sim</v>
      </c>
      <c r="E71" s="5" t="s">
        <v>174</v>
      </c>
      <c r="F71" s="17">
        <v>4045</v>
      </c>
    </row>
    <row r="72" spans="1:6" x14ac:dyDescent="0.25">
      <c r="A72" s="13">
        <v>7140</v>
      </c>
      <c r="B72" s="14" t="s">
        <v>93</v>
      </c>
      <c r="C72" s="15" t="s">
        <v>165</v>
      </c>
      <c r="D72" s="16" t="str">
        <f>IFERROR(VLOOKUP(B72,CERTIFICADOS!A:B,2,0),"-")</f>
        <v>Não</v>
      </c>
      <c r="E72" s="16" t="s">
        <v>174</v>
      </c>
      <c r="F72" s="17">
        <v>5996</v>
      </c>
    </row>
  </sheetData>
  <conditionalFormatting sqref="C2:C70">
    <cfRule type="duplicateValues" dxfId="25" priority="5"/>
  </conditionalFormatting>
  <conditionalFormatting sqref="B9:B70">
    <cfRule type="duplicateValues" dxfId="24" priority="4"/>
  </conditionalFormatting>
  <conditionalFormatting sqref="A2:A8">
    <cfRule type="duplicateValues" dxfId="23" priority="3"/>
  </conditionalFormatting>
  <conditionalFormatting sqref="B2:B72">
    <cfRule type="duplicateValues" dxfId="22" priority="2"/>
  </conditionalFormatting>
  <conditionalFormatting sqref="B2:B72">
    <cfRule type="duplicateValues" dxfId="21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E2B8-80CA-42B0-86FE-99FBDC4CEA35}">
  <dimension ref="A1:B74"/>
  <sheetViews>
    <sheetView workbookViewId="0">
      <selection activeCell="D10" sqref="D10"/>
    </sheetView>
  </sheetViews>
  <sheetFormatPr defaultRowHeight="15" x14ac:dyDescent="0.25"/>
  <cols>
    <col min="1" max="1" width="10.140625" bestFit="1" customWidth="1"/>
    <col min="2" max="2" width="19.28515625" customWidth="1"/>
  </cols>
  <sheetData>
    <row r="1" spans="1:2" x14ac:dyDescent="0.25">
      <c r="A1" s="29" t="s">
        <v>166</v>
      </c>
      <c r="B1" s="26" t="s">
        <v>171</v>
      </c>
    </row>
    <row r="2" spans="1:2" x14ac:dyDescent="0.25">
      <c r="A2" s="24" t="s">
        <v>34</v>
      </c>
      <c r="B2" s="25" t="s">
        <v>172</v>
      </c>
    </row>
    <row r="3" spans="1:2" x14ac:dyDescent="0.25">
      <c r="A3" s="24" t="s">
        <v>167</v>
      </c>
      <c r="B3" s="25" t="s">
        <v>172</v>
      </c>
    </row>
    <row r="4" spans="1:2" x14ac:dyDescent="0.25">
      <c r="A4" s="24" t="s">
        <v>36</v>
      </c>
      <c r="B4" s="25" t="s">
        <v>172</v>
      </c>
    </row>
    <row r="5" spans="1:2" x14ac:dyDescent="0.25">
      <c r="A5" s="24" t="s">
        <v>43</v>
      </c>
      <c r="B5" s="25" t="s">
        <v>172</v>
      </c>
    </row>
    <row r="6" spans="1:2" x14ac:dyDescent="0.25">
      <c r="A6" s="24" t="s">
        <v>50</v>
      </c>
      <c r="B6" s="25" t="s">
        <v>172</v>
      </c>
    </row>
    <row r="7" spans="1:2" x14ac:dyDescent="0.25">
      <c r="A7" s="24" t="s">
        <v>66</v>
      </c>
      <c r="B7" s="25" t="s">
        <v>172</v>
      </c>
    </row>
    <row r="8" spans="1:2" x14ac:dyDescent="0.25">
      <c r="A8" s="24" t="s">
        <v>77</v>
      </c>
      <c r="B8" s="25" t="s">
        <v>172</v>
      </c>
    </row>
    <row r="9" spans="1:2" x14ac:dyDescent="0.25">
      <c r="A9" s="24" t="s">
        <v>91</v>
      </c>
      <c r="B9" s="25" t="s">
        <v>172</v>
      </c>
    </row>
    <row r="10" spans="1:2" x14ac:dyDescent="0.25">
      <c r="A10" s="24" t="s">
        <v>26</v>
      </c>
      <c r="B10" s="25" t="s">
        <v>173</v>
      </c>
    </row>
    <row r="11" spans="1:2" x14ac:dyDescent="0.25">
      <c r="A11" s="24" t="s">
        <v>27</v>
      </c>
      <c r="B11" s="25" t="s">
        <v>173</v>
      </c>
    </row>
    <row r="12" spans="1:2" x14ac:dyDescent="0.25">
      <c r="A12" s="24" t="s">
        <v>39</v>
      </c>
      <c r="B12" s="25" t="s">
        <v>173</v>
      </c>
    </row>
    <row r="13" spans="1:2" x14ac:dyDescent="0.25">
      <c r="A13" s="24" t="s">
        <v>44</v>
      </c>
      <c r="B13" s="25" t="s">
        <v>173</v>
      </c>
    </row>
    <row r="14" spans="1:2" x14ac:dyDescent="0.25">
      <c r="A14" s="24" t="s">
        <v>47</v>
      </c>
      <c r="B14" s="25" t="s">
        <v>173</v>
      </c>
    </row>
    <row r="15" spans="1:2" x14ac:dyDescent="0.25">
      <c r="A15" s="24" t="s">
        <v>49</v>
      </c>
      <c r="B15" s="25" t="s">
        <v>173</v>
      </c>
    </row>
    <row r="16" spans="1:2" x14ac:dyDescent="0.25">
      <c r="A16" s="24" t="s">
        <v>52</v>
      </c>
      <c r="B16" s="25" t="s">
        <v>173</v>
      </c>
    </row>
    <row r="17" spans="1:2" x14ac:dyDescent="0.25">
      <c r="A17" s="24" t="s">
        <v>55</v>
      </c>
      <c r="B17" s="25" t="s">
        <v>173</v>
      </c>
    </row>
    <row r="18" spans="1:2" x14ac:dyDescent="0.25">
      <c r="A18" s="24" t="s">
        <v>64</v>
      </c>
      <c r="B18" s="25" t="s">
        <v>173</v>
      </c>
    </row>
    <row r="19" spans="1:2" x14ac:dyDescent="0.25">
      <c r="A19" s="24" t="s">
        <v>65</v>
      </c>
      <c r="B19" s="25" t="s">
        <v>173</v>
      </c>
    </row>
    <row r="20" spans="1:2" x14ac:dyDescent="0.25">
      <c r="A20" s="24" t="s">
        <v>67</v>
      </c>
      <c r="B20" s="25" t="s">
        <v>173</v>
      </c>
    </row>
    <row r="21" spans="1:2" x14ac:dyDescent="0.25">
      <c r="A21" s="24" t="s">
        <v>68</v>
      </c>
      <c r="B21" s="25" t="s">
        <v>173</v>
      </c>
    </row>
    <row r="22" spans="1:2" x14ac:dyDescent="0.25">
      <c r="A22" s="24" t="s">
        <v>78</v>
      </c>
      <c r="B22" s="25" t="s">
        <v>173</v>
      </c>
    </row>
    <row r="23" spans="1:2" x14ac:dyDescent="0.25">
      <c r="A23" s="24" t="s">
        <v>84</v>
      </c>
      <c r="B23" s="25" t="s">
        <v>173</v>
      </c>
    </row>
    <row r="24" spans="1:2" x14ac:dyDescent="0.25">
      <c r="A24" s="24" t="s">
        <v>85</v>
      </c>
      <c r="B24" s="25" t="s">
        <v>173</v>
      </c>
    </row>
    <row r="25" spans="1:2" x14ac:dyDescent="0.25">
      <c r="A25" s="24" t="s">
        <v>86</v>
      </c>
      <c r="B25" s="25" t="s">
        <v>173</v>
      </c>
    </row>
    <row r="26" spans="1:2" x14ac:dyDescent="0.25">
      <c r="A26" s="24" t="s">
        <v>37</v>
      </c>
      <c r="B26" s="25" t="s">
        <v>172</v>
      </c>
    </row>
    <row r="27" spans="1:2" x14ac:dyDescent="0.25">
      <c r="A27" s="24" t="s">
        <v>38</v>
      </c>
      <c r="B27" s="25" t="s">
        <v>172</v>
      </c>
    </row>
    <row r="28" spans="1:2" x14ac:dyDescent="0.25">
      <c r="A28" s="24" t="s">
        <v>40</v>
      </c>
      <c r="B28" s="25" t="s">
        <v>172</v>
      </c>
    </row>
    <row r="29" spans="1:2" x14ac:dyDescent="0.25">
      <c r="A29" s="24" t="s">
        <v>41</v>
      </c>
      <c r="B29" s="25" t="s">
        <v>172</v>
      </c>
    </row>
    <row r="30" spans="1:2" x14ac:dyDescent="0.25">
      <c r="A30" s="24" t="s">
        <v>54</v>
      </c>
      <c r="B30" s="25" t="s">
        <v>172</v>
      </c>
    </row>
    <row r="31" spans="1:2" x14ac:dyDescent="0.25">
      <c r="A31" s="24" t="s">
        <v>61</v>
      </c>
      <c r="B31" s="25" t="s">
        <v>172</v>
      </c>
    </row>
    <row r="32" spans="1:2" x14ac:dyDescent="0.25">
      <c r="A32" s="24" t="s">
        <v>73</v>
      </c>
      <c r="B32" s="25" t="s">
        <v>172</v>
      </c>
    </row>
    <row r="33" spans="1:2" x14ac:dyDescent="0.25">
      <c r="A33" s="24" t="s">
        <v>23</v>
      </c>
      <c r="B33" s="25" t="s">
        <v>173</v>
      </c>
    </row>
    <row r="34" spans="1:2" x14ac:dyDescent="0.25">
      <c r="A34" s="24" t="s">
        <v>28</v>
      </c>
      <c r="B34" s="25" t="s">
        <v>173</v>
      </c>
    </row>
    <row r="35" spans="1:2" x14ac:dyDescent="0.25">
      <c r="A35" s="24" t="s">
        <v>29</v>
      </c>
      <c r="B35" s="25" t="s">
        <v>173</v>
      </c>
    </row>
    <row r="36" spans="1:2" x14ac:dyDescent="0.25">
      <c r="A36" s="24" t="s">
        <v>30</v>
      </c>
      <c r="B36" s="25" t="s">
        <v>173</v>
      </c>
    </row>
    <row r="37" spans="1:2" x14ac:dyDescent="0.25">
      <c r="A37" s="24" t="s">
        <v>31</v>
      </c>
      <c r="B37" s="25" t="s">
        <v>173</v>
      </c>
    </row>
    <row r="38" spans="1:2" x14ac:dyDescent="0.25">
      <c r="A38" s="24" t="s">
        <v>33</v>
      </c>
      <c r="B38" s="25" t="s">
        <v>173</v>
      </c>
    </row>
    <row r="39" spans="1:2" x14ac:dyDescent="0.25">
      <c r="A39" s="24" t="s">
        <v>53</v>
      </c>
      <c r="B39" s="25" t="s">
        <v>173</v>
      </c>
    </row>
    <row r="40" spans="1:2" x14ac:dyDescent="0.25">
      <c r="A40" s="24" t="s">
        <v>56</v>
      </c>
      <c r="B40" s="25" t="s">
        <v>173</v>
      </c>
    </row>
    <row r="41" spans="1:2" x14ac:dyDescent="0.25">
      <c r="A41" s="24" t="s">
        <v>168</v>
      </c>
      <c r="B41" s="25" t="s">
        <v>173</v>
      </c>
    </row>
    <row r="42" spans="1:2" x14ac:dyDescent="0.25">
      <c r="A42" s="24" t="s">
        <v>60</v>
      </c>
      <c r="B42" s="25" t="s">
        <v>173</v>
      </c>
    </row>
    <row r="43" spans="1:2" x14ac:dyDescent="0.25">
      <c r="A43" s="24" t="s">
        <v>63</v>
      </c>
      <c r="B43" s="25" t="s">
        <v>173</v>
      </c>
    </row>
    <row r="44" spans="1:2" x14ac:dyDescent="0.25">
      <c r="A44" s="24" t="s">
        <v>71</v>
      </c>
      <c r="B44" s="25" t="s">
        <v>173</v>
      </c>
    </row>
    <row r="45" spans="1:2" x14ac:dyDescent="0.25">
      <c r="A45" s="24" t="s">
        <v>72</v>
      </c>
      <c r="B45" s="25" t="s">
        <v>173</v>
      </c>
    </row>
    <row r="46" spans="1:2" x14ac:dyDescent="0.25">
      <c r="A46" s="24" t="s">
        <v>169</v>
      </c>
      <c r="B46" s="25" t="s">
        <v>173</v>
      </c>
    </row>
    <row r="47" spans="1:2" x14ac:dyDescent="0.25">
      <c r="A47" s="24" t="s">
        <v>76</v>
      </c>
      <c r="B47" s="25" t="s">
        <v>173</v>
      </c>
    </row>
    <row r="48" spans="1:2" x14ac:dyDescent="0.25">
      <c r="A48" s="24" t="s">
        <v>82</v>
      </c>
      <c r="B48" s="25" t="s">
        <v>173</v>
      </c>
    </row>
    <row r="49" spans="1:2" x14ac:dyDescent="0.25">
      <c r="A49" s="24" t="s">
        <v>89</v>
      </c>
      <c r="B49" s="25" t="s">
        <v>173</v>
      </c>
    </row>
    <row r="50" spans="1:2" x14ac:dyDescent="0.25">
      <c r="A50" s="24" t="s">
        <v>92</v>
      </c>
      <c r="B50" s="25" t="s">
        <v>173</v>
      </c>
    </row>
    <row r="51" spans="1:2" x14ac:dyDescent="0.25">
      <c r="A51" s="24" t="s">
        <v>25</v>
      </c>
      <c r="B51" s="25" t="s">
        <v>172</v>
      </c>
    </row>
    <row r="52" spans="1:2" x14ac:dyDescent="0.25">
      <c r="A52" s="24" t="s">
        <v>42</v>
      </c>
      <c r="B52" s="25" t="s">
        <v>172</v>
      </c>
    </row>
    <row r="53" spans="1:2" x14ac:dyDescent="0.25">
      <c r="A53" s="24" t="s">
        <v>46</v>
      </c>
      <c r="B53" s="25" t="s">
        <v>172</v>
      </c>
    </row>
    <row r="54" spans="1:2" x14ac:dyDescent="0.25">
      <c r="A54" s="24" t="s">
        <v>48</v>
      </c>
      <c r="B54" s="25" t="s">
        <v>172</v>
      </c>
    </row>
    <row r="55" spans="1:2" x14ac:dyDescent="0.25">
      <c r="A55" s="24" t="s">
        <v>51</v>
      </c>
      <c r="B55" s="25" t="s">
        <v>172</v>
      </c>
    </row>
    <row r="56" spans="1:2" x14ac:dyDescent="0.25">
      <c r="A56" s="24" t="s">
        <v>58</v>
      </c>
      <c r="B56" s="25" t="s">
        <v>172</v>
      </c>
    </row>
    <row r="57" spans="1:2" x14ac:dyDescent="0.25">
      <c r="A57" s="24" t="s">
        <v>62</v>
      </c>
      <c r="B57" s="25" t="s">
        <v>172</v>
      </c>
    </row>
    <row r="58" spans="1:2" x14ac:dyDescent="0.25">
      <c r="A58" s="24" t="s">
        <v>74</v>
      </c>
      <c r="B58" s="25" t="s">
        <v>172</v>
      </c>
    </row>
    <row r="59" spans="1:2" x14ac:dyDescent="0.25">
      <c r="A59" s="24" t="s">
        <v>80</v>
      </c>
      <c r="B59" s="25" t="s">
        <v>172</v>
      </c>
    </row>
    <row r="60" spans="1:2" x14ac:dyDescent="0.25">
      <c r="A60" s="24" t="s">
        <v>87</v>
      </c>
      <c r="B60" s="25" t="s">
        <v>172</v>
      </c>
    </row>
    <row r="61" spans="1:2" x14ac:dyDescent="0.25">
      <c r="A61" s="24" t="s">
        <v>88</v>
      </c>
      <c r="B61" s="25" t="s">
        <v>172</v>
      </c>
    </row>
    <row r="62" spans="1:2" x14ac:dyDescent="0.25">
      <c r="A62" s="24" t="s">
        <v>90</v>
      </c>
      <c r="B62" s="25" t="s">
        <v>172</v>
      </c>
    </row>
    <row r="63" spans="1:2" x14ac:dyDescent="0.25">
      <c r="A63" s="24" t="s">
        <v>93</v>
      </c>
      <c r="B63" s="25" t="s">
        <v>172</v>
      </c>
    </row>
    <row r="64" spans="1:2" x14ac:dyDescent="0.25">
      <c r="A64" s="24" t="s">
        <v>24</v>
      </c>
      <c r="B64" s="25" t="s">
        <v>173</v>
      </c>
    </row>
    <row r="65" spans="1:2" x14ac:dyDescent="0.25">
      <c r="A65" s="24" t="s">
        <v>32</v>
      </c>
      <c r="B65" s="25" t="s">
        <v>173</v>
      </c>
    </row>
    <row r="66" spans="1:2" x14ac:dyDescent="0.25">
      <c r="A66" s="24" t="s">
        <v>35</v>
      </c>
      <c r="B66" s="25" t="s">
        <v>173</v>
      </c>
    </row>
    <row r="67" spans="1:2" x14ac:dyDescent="0.25">
      <c r="A67" s="24" t="s">
        <v>45</v>
      </c>
      <c r="B67" s="25" t="s">
        <v>173</v>
      </c>
    </row>
    <row r="68" spans="1:2" x14ac:dyDescent="0.25">
      <c r="A68" s="24" t="s">
        <v>57</v>
      </c>
      <c r="B68" s="25" t="s">
        <v>173</v>
      </c>
    </row>
    <row r="69" spans="1:2" x14ac:dyDescent="0.25">
      <c r="A69" s="24" t="s">
        <v>59</v>
      </c>
      <c r="B69" s="25" t="s">
        <v>173</v>
      </c>
    </row>
    <row r="70" spans="1:2" x14ac:dyDescent="0.25">
      <c r="A70" s="24" t="s">
        <v>70</v>
      </c>
      <c r="B70" s="25" t="s">
        <v>173</v>
      </c>
    </row>
    <row r="71" spans="1:2" x14ac:dyDescent="0.25">
      <c r="A71" s="24" t="s">
        <v>170</v>
      </c>
      <c r="B71" s="25" t="s">
        <v>173</v>
      </c>
    </row>
    <row r="72" spans="1:2" x14ac:dyDescent="0.25">
      <c r="A72" s="24" t="s">
        <v>75</v>
      </c>
      <c r="B72" s="25" t="s">
        <v>173</v>
      </c>
    </row>
    <row r="73" spans="1:2" x14ac:dyDescent="0.25">
      <c r="A73" s="24" t="s">
        <v>79</v>
      </c>
      <c r="B73" s="25" t="s">
        <v>173</v>
      </c>
    </row>
    <row r="74" spans="1:2" x14ac:dyDescent="0.25">
      <c r="A74" s="27" t="s">
        <v>83</v>
      </c>
      <c r="B74" s="28" t="s">
        <v>173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Base_IQ</vt:lpstr>
      <vt:lpstr>Base_Tecnicos</vt:lpstr>
      <vt:lpstr>CERTIFICADOS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Elcio Nunes</dc:creator>
  <cp:lastModifiedBy>Elcio Nunes</cp:lastModifiedBy>
  <dcterms:created xsi:type="dcterms:W3CDTF">2026-09-08T14:18:48Z</dcterms:created>
  <dcterms:modified xsi:type="dcterms:W3CDTF">2026-09-08T14:37:56Z</dcterms:modified>
</cp:coreProperties>
</file>